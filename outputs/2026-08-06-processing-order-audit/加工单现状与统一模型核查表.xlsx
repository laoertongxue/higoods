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762313f9d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查总览" sheetId="1" r:id="R758f48aa34ac4d33"/>
    <x:sheet xmlns:r="http://schemas.openxmlformats.org/officeDocument/2006/relationships" name="加工单现状矩阵" sheetId="2" r:id="Rd653ce84a2264c50"/>
    <x:sheet xmlns:r="http://schemas.openxmlformats.org/officeDocument/2006/relationships" name="工艺明细" sheetId="3" r:id="Rb5b8df516f9a4fc7"/>
    <x:sheet xmlns:r="http://schemas.openxmlformats.org/officeDocument/2006/relationships" name="需求来源与场景" sheetId="4" r:id="Rb2089160aece4a71"/>
    <x:sheet xmlns:r="http://schemas.openxmlformats.org/officeDocument/2006/relationships" name="状态模型" sheetId="5" r:id="R943e9ab7427846c7"/>
    <x:sheet xmlns:r="http://schemas.openxmlformats.org/officeDocument/2006/relationships" name="差异与待确认" sheetId="6" r:id="R014910da3e664ddf"/>
    <x:sheet xmlns:r="http://schemas.openxmlformats.org/officeDocument/2006/relationships" name="代码依据" sheetId="7" r:id="R3f96873b69af48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25455F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b/>
      <x:sz val="18"/>
      <x:color rgb="FF1F4E78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0F6B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8">
    <x:border/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0D7DE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200" fontId="5" fillId="3" borderId="4" xfId="0" applyNumberFormat="1" applyFont="1" applyFill="1" applyBorder="1"/>
    <x:xf numFmtId="200" fontId="5" fillId="3" borderId="4" xfId="0" applyNumberFormat="1" applyFont="1" applyFill="1" applyBorder="1" applyAlignment="1">
      <x:alignment horizontal="center"/>
    </x:xf>
    <x:xf numFmtId="200" fontId="5" fillId="3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3" borderId="4" xfId="0" applyNumberFormat="1" applyFont="1" applyFill="1" applyBorder="1"/>
    <x:xf numFmtId="0" fontId="0" fillId="6" borderId="4" xfId="0" applyNumberFormat="1" applyFont="1" applyFill="1" applyBorder="1"/>
    <x:xf numFmtId="0" fontId="0" fillId="7" borderId="4" xfId="0" applyNumberFormat="1" applyFont="1" applyFill="1" applyBorder="1"/>
    <x:xf numFmtId="0" fontId="0" fillId="8" borderId="4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horizont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horizontal="left" wrapText="1"/>
    </x:xf>
    <x:xf numFmtId="0" fontId="8" fillId="0" borderId="6" xfId="0" applyNumberFormat="1" applyFont="1" applyFill="1" applyBorder="1" applyAlignment="1">
      <x:alignment horizontal="left" wrapText="1"/>
    </x:xf>
    <x:xf numFmtId="0" fontId="8" fillId="0" borderId="7" xfId="0" applyNumberFormat="1" applyFont="1" applyFill="1" applyBorder="1" applyAlignment="1">
      <x:alignment horizontal="left" wrapText="1"/>
    </x:xf>
    <x:xf numFmtId="0" fontId="8" fillId="0" borderId="5" xfId="0" applyNumberFormat="1" applyFont="1" applyFill="1" applyBorder="1" applyAlignment="1">
      <x:alignment horizontal="left" vertical="top" wrapText="1"/>
    </x:xf>
    <x:xf numFmtId="0" fontId="8" fillId="0" borderId="6" xfId="0" applyNumberFormat="1" applyFont="1" applyFill="1" applyBorder="1" applyAlignment="1">
      <x:alignment horizontal="left" vertical="top" wrapText="1"/>
    </x:xf>
    <x:xf numFmtId="0" fontId="8" fillId="0" borderId="7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0">
    <x:dxf>
      <x:font>
        <x:b/>
        <x:color rgb="FF215E21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215E21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215E21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215E21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215E21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15E21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3c57ff56c48c0" /><Relationship Type="http://schemas.openxmlformats.org/officeDocument/2006/relationships/theme" Target="/xl/theme/theme1.xml" Id="R38158644fd3445eb" /><Relationship Type="http://schemas.openxmlformats.org/officeDocument/2006/relationships/sharedStrings" Target="/xl/sharedStrings.xml" Id="R7df313d26cc34530" /><Relationship Type="http://schemas.openxmlformats.org/officeDocument/2006/relationships/worksheet" Target="/xl/worksheets/sheet1.xml" Id="R758f48aa34ac4d33" /><Relationship Type="http://schemas.openxmlformats.org/officeDocument/2006/relationships/worksheet" Target="/xl/worksheets/sheet2.xml" Id="Rd653ce84a2264c50" /><Relationship Type="http://schemas.openxmlformats.org/officeDocument/2006/relationships/worksheet" Target="/xl/worksheets/sheet3.xml" Id="Rb5b8df516f9a4fc7" /><Relationship Type="http://schemas.openxmlformats.org/officeDocument/2006/relationships/worksheet" Target="/xl/worksheets/sheet4.xml" Id="Rb2089160aece4a71" /><Relationship Type="http://schemas.openxmlformats.org/officeDocument/2006/relationships/worksheet" Target="/xl/worksheets/sheet5.xml" Id="R943e9ab7427846c7" /><Relationship Type="http://schemas.openxmlformats.org/officeDocument/2006/relationships/worksheet" Target="/xl/worksheets/sheet6.xml" Id="R014910da3e664ddf" /><Relationship Type="http://schemas.openxmlformats.org/officeDocument/2006/relationships/worksheet" Target="/xl/worksheets/sheet7.xml" Id="R3f96873b69af485c" /></Relationships>
</file>

<file path=xl/tables/table1.xml><?xml version="1.0" encoding="utf-8"?>
<x:table xmlns:x="http://schemas.openxmlformats.org/spreadsheetml/2006/main" id="1" name="ProcessingOrderMatrixTable" displayName="ProcessingOrderMatrixTable" ref="A4:T12" headerRowCount="1" totalsRowCount="0" totalsRowShown="0">
  <x:autoFilter ref="A4:T12"/>
  <x:tableColumns count="20">
    <x:tableColumn id="1" name="编号"/>
    <x:tableColumn id="2" name="所处阶段"/>
    <x:tableColumn id="3" name="加工单族"/>
    <x:tableColumn id="4" name="当前开放加工单/工艺"/>
    <x:tableColumn id="5" name="当前代码需求来源"/>
    <x:tableColumn id="6" name="已确认/目标需求来源"/>
    <x:tableColumn id="7" name="加工投入对象类型"/>
    <x:tableColumn id="8" name="加工投入标识"/>
    <x:tableColumn id="9" name="投入数量事实"/>
    <x:tableColumn id="10" name="加工产出对象类型"/>
    <x:tableColumn id="11" name="加工产出标识"/>
    <x:tableColumn id="12" name="产出数量事实"/>
    <x:tableColumn id="13" name="当前状态口径"/>
    <x:tableColumn id="14" name="目标一级状态"/>
    <x:tableColumn id="15" name="允许内部工艺进度"/>
    <x:tableColumn id="16" name="对象图片现状"/>
    <x:tableColumn id="17" name="当前代码判断"/>
    <x:tableColumn id="18" name="代码依据"/>
    <x:tableColumn id="19" name="核查结论"/>
    <x:tableColumn id="20" name="核查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aftDetailTable" displayName="CraftDetailTable" ref="A4:O23" headerRowCount="1" totalsRowCount="0" totalsRowShown="0">
  <x:autoFilter ref="A4:O23"/>
  <x:tableColumns count="15">
    <x:tableColumn id="1" name="序号"/>
    <x:tableColumn id="2" name="阶段"/>
    <x:tableColumn id="3" name="管理域"/>
    <x:tableColumn id="4" name="加工单/工艺"/>
    <x:tableColumn id="5" name="当前默认对象"/>
    <x:tableColumn id="6" name="当前支持对象"/>
    <x:tableColumn id="7" name="已确认对象修正"/>
    <x:tableColumn id="8" name="当前来源"/>
    <x:tableColumn id="9" name="已确认来源修正"/>
    <x:tableColumn id="10" name="目标一级状态"/>
    <x:tableColumn id="11" name="内部工艺进度"/>
    <x:tableColumn id="12" name="当前代码风险"/>
    <x:tableColumn id="13" name="代码依据"/>
    <x:tableColumn id="14" name="核查结论"/>
    <x:tableColumn id="15" name="核查备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emandScenarioTable" displayName="DemandScenarioTable" ref="A4:O14" headerRowCount="1" totalsRowCount="0" totalsRowShown="0">
  <x:autoFilter ref="A4:O14"/>
  <x:tableColumns count="15">
    <x:tableColumn id="1" name="场景编号"/>
    <x:tableColumn id="2" name="需求场景"/>
    <x:tableColumn id="3" name="直接来源单据"/>
    <x:tableColumn id="4" name="投入供应来源"/>
    <x:tableColumn id="5" name="想要的结果"/>
    <x:tableColumn id="6" name="是否创建加工单"/>
    <x:tableColumn id="7" name="加工单类型"/>
    <x:tableColumn id="8" name="投入对象类型"/>
    <x:tableColumn id="9" name="投入对象标识"/>
    <x:tableColumn id="10" name="产出对象类型"/>
    <x:tableColumn id="11" name="产出对象标识"/>
    <x:tableColumn id="12" name="一级状态"/>
    <x:tableColumn id="13" name="业务规则"/>
    <x:tableColumn id="14" name="确认状态"/>
    <x:tableColumn id="15" name="核查备注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LifecycleStatusTable" displayName="LifecycleStatusTable" ref="A4:H9" headerRowCount="1" totalsRowCount="0" totalsRowShown="0">
  <x:autoFilter ref="A4:H9"/>
  <x:tableColumns count="8">
    <x:tableColumn id="1" name="顺序"/>
    <x:tableColumn id="2" name="一级状态"/>
    <x:tableColumn id="3" name="业务定义"/>
    <x:tableColumn id="4" name="进入事件"/>
    <x:tableColumn id="5" name="必须记录的事实"/>
    <x:tableColumn id="6" name="退出事件"/>
    <x:tableColumn id="7" name="允许动作"/>
    <x:tableColumn id="8" name="不应作为主状态的内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usStrategyTable" displayName="StatusStrategyTable" ref="A12:H20" headerRowCount="1" totalsRowCount="0" totalsRowShown="0">
  <x:autoFilter ref="A12:H20"/>
  <x:tableColumns count="8">
    <x:tableColumn id="1" name="加工单"/>
    <x:tableColumn id="2" name="一级状态"/>
    <x:tableColumn id="3" name="内部工艺进度"/>
    <x:tableColumn id="4" name="内部进度示例"/>
    <x:tableColumn id="5" name="齐套/差异处理"/>
    <x:tableColumn id="6" name="质检/复检"/>
    <x:tableColumn id="7" name="当前代码问题"/>
    <x:tableColumn id="8" name="目标结论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GapReviewTable" displayName="GapReviewTable" ref="A4:L18" headerRowCount="1" totalsRowCount="0" totalsRowShown="0">
  <x:autoFilter ref="A4:L18"/>
  <x:tableColumns count="12">
    <x:tableColumn id="1" name="问题编号"/>
    <x:tableColumn id="2" name="类型"/>
    <x:tableColumn id="3" name="涉及加工单"/>
    <x:tableColumn id="4" name="当前代码"/>
    <x:tableColumn id="5" name="已确认/候选业务规则"/>
    <x:tableColumn id="6" name="业务影响"/>
    <x:tableColumn id="7" name="建议处理"/>
    <x:tableColumn id="8" name="优先级"/>
    <x:tableColumn id="9" name="当前结论"/>
    <x:tableColumn id="10" name="复核结论"/>
    <x:tableColumn id="11" name="复核备注"/>
    <x:tableColumn id="12" name="代码依据"/>
  </x:tableColumns>
  <x:tableStyleInfo name="TableStyleMedium10" showFirstColumn="0" showLastColumn="0" showRowStripes="1" showColumnStripes="0"/>
</x:table>
</file>

<file path=xl/tables/table7.xml><?xml version="1.0" encoding="utf-8"?>
<x:table xmlns:x="http://schemas.openxmlformats.org/spreadsheetml/2006/main" id="7" name="CodeEvidenceTable" displayName="CodeEvidenceTable" ref="A4:G19" headerRowCount="1" totalsRowCount="0" totalsRowShown="0">
  <x:autoFilter ref="A4:G19"/>
  <x:tableColumns count="7">
    <x:tableColumn id="1" name="证据编号"/>
    <x:tableColumn id="2" name="领域"/>
    <x:tableColumn id="3" name="文件路径"/>
    <x:tableColumn id="4" name="行号/符号"/>
    <x:tableColumn id="5" name="确认内容"/>
    <x:tableColumn id="6" name="事实类型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218fabc1c84f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c8a0a79aa54b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39de13d48a4e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b79c64eba04c16" /><Relationship Type="http://schemas.openxmlformats.org/officeDocument/2006/relationships/table" Target="/xl/tables/table5.xml" Id="Rea406586c49740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ea0da82f9e47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59d486a9b284a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14" hidden="0" customWidth="1"/>
    <x:col min="4" max="4" width="24" hidden="0" customWidth="1"/>
    <x:col min="5" max="5" width="14" hidden="0" customWidth="1"/>
    <x:col min="6" max="6" width="22" hidden="0" customWidth="1"/>
    <x:col min="7" max="7" width="16" hidden="0" customWidth="1"/>
    <x:col min="8" max="8" width="22" hidden="0" customWidth="1"/>
  </x:cols>
  <x:sheetData>
    <x:row r="1" ht="34" customHeight="1">
      <x:c r="A1" s="4" t="str">
        <x:v>加工单现状与统一模型核查表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用途：逐项核查当前代码、已确认业务事实、模型缺口和待确认边界。本文件是讨论与核查材料，不代表已经实施。</x:v>
      </x:c>
      <x:c r="B2" s="8"/>
      <x:c r="C2" s="8"/>
      <x:c r="D2" s="8"/>
      <x:c r="E2" s="8"/>
      <x:c r="F2" s="8"/>
      <x:c r="G2" s="8"/>
      <x:c r="H2" s="8"/>
    </x:row>
    <x:row r="4">
      <x:c r="A4" s="11" t="str">
        <x:v>核查基线</x:v>
      </x:c>
      <x:c r="B4" s="12"/>
      <x:c r="C4" s="12"/>
      <x:c r="D4" s="12"/>
      <x:c r="E4" s="12"/>
      <x:c r="F4" s="12"/>
      <x:c r="G4" s="12"/>
      <x:c r="H4" s="13"/>
    </x:row>
    <x:row r="5" ht="30" customHeight="1">
      <x:c r="A5" s="16" t="str">
        <x:v>项目</x:v>
      </x:c>
      <x:c r="B5" s="16" t="str">
        <x:v>HiGood 产品原型仓库</x:v>
      </x:c>
      <x:c r="C5" s="16" t="str">
        <x:v>分支</x:v>
      </x:c>
      <x:c r="D5" s="16" t="str">
        <x:v>codex/supplement-ui-adjustment</x:v>
      </x:c>
      <x:c r="E5" s="16" t="str">
        <x:v>Git HEAD</x:v>
      </x:c>
      <x:c r="F5" s="16" t="str">
        <x:v>21a32fd1</x:v>
      </x:c>
      <x:c r="G5" s="16" t="str">
        <x:v>核查日期</x:v>
      </x:c>
      <x:c r="H5" s="16" t="str">
        <x:v>2026-08-06</x:v>
      </x:c>
    </x:row>
    <x:row r="7">
      <x:c r="A7" s="19" t="str">
        <x:v>加工单族</x:v>
      </x:c>
      <x:c r="B7" s="19" t="str"/>
      <x:c r="C7" s="19" t="str">
        <x:v>当前开放入口/工艺</x:v>
      </x:c>
      <x:c r="D7" s="19" t="str"/>
      <x:c r="E7" s="19" t="str">
        <x:v>差异与待确认</x:v>
      </x:c>
      <x:c r="F7" s="19" t="str"/>
      <x:c r="G7" s="19" t="str">
        <x:v>已确认业务口径项</x:v>
      </x:c>
      <x:c r="H7" s="19" t="str"/>
    </x:row>
    <x:row r="8" ht="28" customHeight="1">
      <x:c r="A8" s="24" t="n">
        <x:f>COUNTA('加工单现状矩阵'!$A$5:$A$12)</x:f>
        <x:v>8</x:v>
      </x:c>
      <x:c r="B8" s="24"/>
      <x:c r="C8" s="24" t="n">
        <x:f>COUNTA('工艺明细'!$A$5:$A$23)</x:f>
        <x:v>19</x:v>
      </x:c>
      <x:c r="D8" s="24"/>
      <x:c r="E8" s="24" t="n">
        <x:f>COUNTA('差异与待确认'!$A$5:$A$18)</x:f>
        <x:v>14</x:v>
      </x:c>
      <x:c r="F8" s="24"/>
      <x:c r="G8" s="24" t="n">
        <x:f>COUNTIF('差异与待确认'!$I$5:$I$18,"已确认业务口径")</x:f>
        <x:v>12</x:v>
      </x:c>
      <x:c r="H8" s="24"/>
    </x:row>
    <x:row r="9" ht="28" customHeight="1">
      <x:c r="A9" s="24"/>
      <x:c r="B9" s="24"/>
      <x:c r="C9" s="24"/>
      <x:c r="D9" s="24"/>
      <x:c r="E9" s="24"/>
      <x:c r="F9" s="24"/>
      <x:c r="G9" s="24"/>
      <x:c r="H9" s="24"/>
    </x:row>
    <x:row r="11">
      <x:c r="A11" s="10" t="str">
        <x:v>事实标识</x:v>
      </x:c>
      <x:c r="B11" s="10"/>
      <x:c r="C11" s="10"/>
      <x:c r="D11" s="10"/>
      <x:c r="E11" s="10"/>
      <x:c r="F11" s="10"/>
      <x:c r="G11" s="10"/>
      <x:c r="H11" s="10"/>
    </x:row>
    <x:row r="12">
      <x:c r="A12" s="36" t="str">
        <x:v>当前代码事实</x:v>
      </x:c>
      <x:c r="B12" s="16" t="str">
        <x:v>本次从当前分支的菜单、工艺字典和领域对象确认</x:v>
      </x:c>
    </x:row>
    <x:row r="13">
      <x:c r="A13" s="37" t="str">
        <x:v>已确认业务口径</x:v>
      </x:c>
      <x:c r="B13" s="16" t="str">
        <x:v>以本轮用户确认优先，可纠正当前代码</x:v>
      </x:c>
    </x:row>
    <x:row r="14">
      <x:c r="A14" s="38" t="str">
        <x:v>基于代码推断</x:v>
      </x:c>
      <x:c r="B14" s="16" t="str">
        <x:v>代码没有正式字段，只能根据数量和流程关系推断</x:v>
      </x:c>
    </x:row>
    <x:row r="15">
      <x:c r="A15" s="39" t="str">
        <x:v>待确认/代码缺口</x:v>
      </x:c>
      <x:c r="B15" s="16" t="str">
        <x:v>不能作为最终业务规则，需要继续核查或修正</x:v>
      </x:c>
    </x:row>
    <x:row r="17">
      <x:c r="A17" s="10" t="str">
        <x:v>本轮已确认的统一原则</x:v>
      </x:c>
      <x:c r="B17" s="10"/>
      <x:c r="C17" s="10"/>
      <x:c r="D17" s="10"/>
      <x:c r="E17" s="10"/>
      <x:c r="F17" s="10"/>
      <x:c r="G17" s="10"/>
      <x:c r="H17" s="10"/>
    </x:row>
    <x:row r="18" ht="34" customHeight="1">
      <x:c r="A18" s="44" t="str">
        <x:v>P-01</x:v>
      </x:c>
      <x:c r="B18" s="16" t="str">
        <x:v>统一的是结构，不是让所有加工单的工序、对象和现场操作完全相同。</x:v>
      </x:c>
      <x:c r="C18" s="16"/>
      <x:c r="D18" s="16"/>
      <x:c r="E18" s="16"/>
      <x:c r="F18" s="16"/>
      <x:c r="G18" s="16"/>
      <x:c r="H18" s="16"/>
    </x:row>
    <x:row r="19" ht="34" customHeight="1">
      <x:c r="A19" s="44" t="str">
        <x:v>P-02</x:v>
      </x:c>
      <x:c r="B19" s="16" t="str">
        <x:v>所有加工单都要有加工投入和加工产出；两侧分别绑定对象类型、对象标识、数量、单位和图片。</x:v>
      </x:c>
      <x:c r="C19" s="16"/>
      <x:c r="D19" s="16"/>
      <x:c r="E19" s="16"/>
      <x:c r="F19" s="16"/>
      <x:c r="G19" s="16"/>
      <x:c r="H19" s="16"/>
    </x:row>
    <x:row r="20" ht="34" customHeight="1">
      <x:c r="A20" s="44" t="str">
        <x:v>P-03</x:v>
      </x:c>
      <x:c r="B20" s="16" t="str">
        <x:v>普通裁片没有 SKU；使用生产单/裁片单、部位、颜色、尺码、菲票和中转袋等组合识别。</x:v>
      </x:c>
      <x:c r="C20" s="16"/>
      <x:c r="D20" s="16"/>
      <x:c r="E20" s="16"/>
      <x:c r="F20" s="16"/>
      <x:c r="G20" s="16"/>
      <x:c r="H20" s="16"/>
    </x:row>
    <x:row r="21" ht="34" customHeight="1">
      <x:c r="A21" s="44" t="str">
        <x:v>P-04</x:v>
      </x:c>
      <x:c r="B21" s="16" t="str">
        <x:v>成衣 SKU 是款式/SPU 下的颜色+尺码，不把潘通值或花型写入成衣 SKU。</x:v>
      </x:c>
      <x:c r="C21" s="16"/>
      <x:c r="D21" s="16"/>
      <x:c r="E21" s="16"/>
      <x:c r="F21" s="16"/>
      <x:c r="G21" s="16"/>
      <x:c r="H21" s="16"/>
    </x:row>
    <x:row r="22" ht="34" customHeight="1">
      <x:c r="A22" s="44" t="str">
        <x:v>P-05</x:v>
      </x:c>
      <x:c r="B22" s="16" t="str">
        <x:v>补料可以触发绣花；绣花对象可以是裁片，也可能是面料。</x:v>
      </x:c>
      <x:c r="C22" s="16"/>
      <x:c r="D22" s="16"/>
      <x:c r="E22" s="16"/>
      <x:c r="F22" s="16"/>
      <x:c r="G22" s="16"/>
      <x:c r="H22" s="16"/>
    </x:row>
    <x:row r="23" ht="34" customHeight="1">
      <x:c r="A23" s="44" t="str">
        <x:v>P-06</x:v>
      </x:c>
      <x:c r="B23" s="16" t="str">
        <x:v>采购绣花成品面料与采购坯料后委外绣花必须分开。</x:v>
      </x:c>
      <x:c r="C23" s="16"/>
      <x:c r="D23" s="16"/>
      <x:c r="E23" s="16"/>
      <x:c r="F23" s="16"/>
      <x:c r="G23" s="16"/>
      <x:c r="H23" s="16"/>
    </x:row>
    <x:row r="24" ht="34" customHeight="1">
      <x:c r="A24" s="44" t="str">
        <x:v>P-07</x:v>
      </x:c>
      <x:c r="B24" s="16" t="str">
        <x:v>所有加工单采用五个一级状态；只有印花、染色（含水溶步骤）允许显示内部工艺进度。</x:v>
      </x:c>
      <x:c r="C24" s="16"/>
      <x:c r="D24" s="16"/>
      <x:c r="E24" s="16"/>
      <x:c r="F24" s="16"/>
      <x:c r="G24" s="16"/>
      <x:c r="H24" s="16"/>
    </x:row>
    <x:row r="25" ht="34" customHeight="1">
      <x:c r="A25" s="44" t="str">
        <x:v>P-08</x:v>
      </x:c>
      <x:c r="B25" s="16" t="str">
        <x:v>当前暂不考虑损耗；每道加工允许 SKU 相同但加工状态不同。</x:v>
      </x:c>
      <x:c r="C25" s="16"/>
      <x:c r="D25" s="16"/>
      <x:c r="E25" s="16"/>
      <x:c r="F25" s="16"/>
      <x:c r="G25" s="16"/>
      <x:c r="H25" s="16"/>
    </x:row>
    <x:row r="27">
      <x:c r="A27" s="10" t="str">
        <x:v>建议核查顺序</x:v>
      </x:c>
      <x:c r="B27" s="10"/>
      <x:c r="C27" s="10"/>
      <x:c r="D27" s="10"/>
      <x:c r="E27" s="10"/>
      <x:c r="F27" s="10"/>
      <x:c r="G27" s="10"/>
      <x:c r="H27" s="10"/>
    </x:row>
    <x:row r="28">
      <x:c r="A28" s="46" t="str">
        <x:v>1</x:v>
      </x:c>
      <x:c r="B28" s="16" t="str">
        <x:v>先核对“加工单现状矩阵”的八类加工单边界</x:v>
      </x:c>
      <x:c r="C28" s="16" t="str"/>
      <x:c r="D28" s="16" t="str"/>
      <x:c r="E28" s="16" t="str"/>
      <x:c r="F28" s="16" t="str"/>
      <x:c r="G28" s="16" t="str"/>
      <x:c r="H28" s="16" t="str"/>
    </x:row>
    <x:row r="29">
      <x:c r="A29" s="46" t="str">
        <x:v>2</x:v>
      </x:c>
      <x:c r="B29" s="16" t="str">
        <x:v>再核对“工艺明细”的19个当前开放入口及对象类型</x:v>
      </x:c>
      <x:c r="C29" s="16" t="str"/>
      <x:c r="D29" s="16" t="str"/>
      <x:c r="E29" s="16" t="str"/>
      <x:c r="F29" s="16" t="str"/>
      <x:c r="G29" s="16" t="str"/>
      <x:c r="H29" s="16" t="str"/>
    </x:row>
    <x:row r="30">
      <x:c r="A30" s="46" t="str">
        <x:v>3</x:v>
      </x:c>
      <x:c r="B30" s="16" t="str">
        <x:v>重点核对“需求来源与场景”中的补料绣花、采购绣花面料和白坯染黑场景</x:v>
      </x:c>
      <x:c r="C30" s="16" t="str"/>
      <x:c r="D30" s="16" t="str"/>
      <x:c r="E30" s="16" t="str"/>
      <x:c r="F30" s="16" t="str"/>
      <x:c r="G30" s="16" t="str"/>
      <x:c r="H30" s="16" t="str"/>
    </x:row>
    <x:row r="31">
      <x:c r="A31" s="46" t="str">
        <x:v>4</x:v>
      </x:c>
      <x:c r="B31" s="16" t="str">
        <x:v>最后在“差异与待确认”填写复核结论和备注</x:v>
      </x:c>
      <x:c r="C31" s="16" t="str"/>
      <x:c r="D31" s="16" t="str"/>
      <x:c r="E31" s="16" t="str"/>
      <x:c r="F31" s="16" t="str"/>
      <x:c r="G31" s="16" t="str"/>
      <x:c r="H31" s="16" t="str"/>
    </x:row>
  </x:sheetData>
  <x:mergeCells>
    <x:mergeCell ref="A1:H1"/>
    <x:mergeCell ref="A2:H2"/>
    <x:mergeCell ref="A4:H4"/>
    <x:mergeCell ref="A8:B9"/>
    <x:mergeCell ref="C8:D9"/>
    <x:mergeCell ref="E8:F9"/>
    <x:mergeCell ref="G8:H9"/>
    <x:mergeCell ref="A11:H11"/>
    <x:mergeCell ref="B12:H12"/>
    <x:mergeCell ref="B13:H13"/>
    <x:mergeCell ref="B14:H14"/>
    <x:mergeCell ref="B15:H15"/>
    <x:mergeCell ref="A17:H17"/>
    <x:mergeCell ref="B18:H18"/>
    <x:mergeCell ref="B19:H19"/>
    <x:mergeCell ref="B20:H20"/>
    <x:mergeCell ref="B21:H21"/>
    <x:mergeCell ref="B22:H22"/>
    <x:mergeCell ref="B23:H23"/>
    <x:mergeCell ref="B24:H24"/>
    <x:mergeCell ref="B25:H25"/>
    <x:mergeCell ref="A27:H27"/>
    <x:mergeCell ref="B28:H28"/>
    <x:mergeCell ref="B29:H29"/>
    <x:mergeCell ref="B30:H30"/>
    <x:mergeCell ref="B31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5" hidden="0" customWidth="1"/>
    <x:col min="4" max="4" width="30" hidden="0" customWidth="1"/>
    <x:col min="5" max="5" width="28" hidden="0" customWidth="1"/>
    <x:col min="6" max="6" width="31" hidden="0" customWidth="1"/>
    <x:col min="7" max="7" width="20" hidden="0" customWidth="1"/>
    <x:col min="8" max="8" width="34" hidden="0" customWidth="1"/>
    <x:col min="9" max="9" width="23" hidden="0" customWidth="1"/>
    <x:col min="10" max="10" width="20" hidden="0" customWidth="1"/>
    <x:col min="11" max="11" width="34" hidden="0" customWidth="1"/>
    <x:col min="12" max="12" width="22" hidden="0" customWidth="1"/>
    <x:col min="13" max="13" width="25" hidden="0" customWidth="1"/>
    <x:col min="14" max="14" width="24" hidden="0" customWidth="1"/>
    <x:col min="15" max="15" width="26" hidden="0" customWidth="1"/>
    <x:col min="16" max="16" width="25" hidden="0" customWidth="1"/>
    <x:col min="17" max="17" width="32" hidden="0" customWidth="1"/>
    <x:col min="18" max="18" width="42" hidden="0" customWidth="1"/>
    <x:col min="19" max="19" width="13" hidden="0" customWidth="1"/>
    <x:col min="20" max="20" width="26" hidden="0" customWidth="1"/>
  </x:cols>
  <x:sheetData>
    <x:row r="1" ht="34" customHeight="1">
      <x:c r="A1" s="4" t="str">
        <x:v>加工单现状矩阵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4" customHeight="1">
      <x:c r="A2" s="8" t="str">
        <x:v>每行是一类加工单族。请重点核查对象类型、对象标识、需求来源和加工产出是否符合现场。黄色“待核查”单元格可直接修改。 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</x:row>
    <x:row r="4" ht="42" customHeight="1">
      <x:c r="A4" s="51" t="str">
        <x:v>编号</x:v>
      </x:c>
      <x:c r="B4" s="51" t="str">
        <x:v>所处阶段</x:v>
      </x:c>
      <x:c r="C4" s="51" t="str">
        <x:v>加工单族</x:v>
      </x:c>
      <x:c r="D4" s="51" t="str">
        <x:v>当前开放加工单/工艺</x:v>
      </x:c>
      <x:c r="E4" s="51" t="str">
        <x:v>当前代码需求来源</x:v>
      </x:c>
      <x:c r="F4" s="51" t="str">
        <x:v>已确认/目标需求来源</x:v>
      </x:c>
      <x:c r="G4" s="51" t="str">
        <x:v>加工投入对象类型</x:v>
      </x:c>
      <x:c r="H4" s="51" t="str">
        <x:v>加工投入标识</x:v>
      </x:c>
      <x:c r="I4" s="51" t="str">
        <x:v>投入数量事实</x:v>
      </x:c>
      <x:c r="J4" s="51" t="str">
        <x:v>加工产出对象类型</x:v>
      </x:c>
      <x:c r="K4" s="51" t="str">
        <x:v>加工产出标识</x:v>
      </x:c>
      <x:c r="L4" s="51" t="str">
        <x:v>产出数量事实</x:v>
      </x:c>
      <x:c r="M4" s="51" t="str">
        <x:v>当前状态口径</x:v>
      </x:c>
      <x:c r="N4" s="51" t="str">
        <x:v>目标一级状态</x:v>
      </x:c>
      <x:c r="O4" s="51" t="str">
        <x:v>允许内部工艺进度</x:v>
      </x:c>
      <x:c r="P4" s="51" t="str">
        <x:v>对象图片现状</x:v>
      </x:c>
      <x:c r="Q4" s="51" t="str">
        <x:v>当前代码判断</x:v>
      </x:c>
      <x:c r="R4" s="51" t="str">
        <x:v>代码依据</x:v>
      </x:c>
      <x:c r="S4" s="51" t="str">
        <x:v>核查结论</x:v>
      </x:c>
      <x:c r="T4" s="51" t="str">
        <x:v>核查备注</x:v>
      </x:c>
    </x:row>
    <x:row r="5" ht="108" customHeight="1">
      <x:c r="A5" s="62" t="str">
        <x:v>WO-01</x:v>
      </x:c>
      <x:c r="B5" s="62" t="str">
        <x:v>准备阶段</x:v>
      </x:c>
      <x:c r="C5" s="62" t="str">
        <x:v>水溶</x:v>
      </x:c>
      <x:c r="D5" s="62" t="str">
        <x:v>独立水溶加工单</x:v>
      </x:c>
      <x:c r="E5" s="62" t="str">
        <x:v>仅生产单→技术包→BOM；仅水溶时独立生成</x:v>
      </x:c>
      <x:c r="F5" s="62" t="str">
        <x:v>含水溶的染色继承染色来源；独立水溶的备货/补料来源待确认</x:v>
      </x:c>
      <x:c r="G5" s="62" t="str">
        <x:v>BOM物料</x:v>
      </x:c>
      <x:c r="H5" s="62" t="str">
        <x:v>物料编码+名称+规格</x:v>
      </x:c>
      <x:c r="I5" s="62" t="str">
        <x:v>计划数量；没有独立实际投入事实</x:v>
      </x:c>
      <x:c r="J5" s="62" t="str">
        <x:v>当前代码未建模</x:v>
      </x:c>
      <x:c r="K5" s="62" t="str">
        <x:v>仅以完成/交出/收货数量表达；可推断为同一物料完成水溶</x:v>
      </x:c>
      <x:c r="L5" s="62" t="str">
        <x:v>完成数量、交出数量、收货数量</x:v>
      </x:c>
      <x:c r="M5" s="62" t="str">
        <x:v>9个细状态</x:v>
      </x:c>
      <x:c r="N5" s="62" t="str">
        <x:v>待分配→待接料→加工中→待交出→已完成</x:v>
      </x:c>
      <x:c r="O5" s="62" t="str">
        <x:v>独立水溶不细分；并入染色时作为染色内部步骤</x:v>
      </x:c>
      <x:c r="P5" s="62" t="str">
        <x:v>无投入/产出对象图</x:v>
      </x:c>
      <x:c r="Q5" s="62" t="str">
        <x:v>加工产出身份缺失；状态过细</x:v>
      </x:c>
      <x:c r="R5" s="62" t="str">
        <x:v>/Users/laoer/Documents/higoods/src/data/fcs/water-soluble-task-domain.ts:14-83；production-artifact-generation.ts:687-705</x:v>
      </x:c>
      <x:c r="S5" s="62" t="str">
        <x:v>待核查</x:v>
      </x:c>
      <x:c r="T5" s="62" t="str"/>
    </x:row>
    <x:row r="6" ht="108" customHeight="1">
      <x:c r="A6" s="63" t="str">
        <x:v>WO-02</x:v>
      </x:c>
      <x:c r="B6" s="63" t="str">
        <x:v>准备阶段</x:v>
      </x:c>
      <x:c r="C6" s="63" t="str">
        <x:v>染色</x:v>
      </x:c>
      <x:c r="D6" s="63" t="str">
        <x:v>染色加工单（可含水溶）</x:v>
      </x:c>
      <x:c r="E6" s="63" t="str">
        <x:v>生产单、备货、裁片补料；无采购来源</x:v>
      </x:c>
      <x:c r="F6" s="63" t="str">
        <x:v>生产、备货、补料；采购坯料后委外染色时应记录采购供料来源</x:v>
      </x:c>
      <x:c r="G6" s="63" t="str">
        <x:v>面料</x:v>
      </x:c>
      <x:c r="H6" s="63" t="str">
        <x:v>rawMaterialSku+物料ID+成分+门幅+克重+批次</x:v>
      </x:c>
      <x:c r="I6" s="63" t="str">
        <x:v>计划数量；执行节点实际投入数量</x:v>
      </x:c>
      <x:c r="J6" s="63" t="str">
        <x:v>面料</x:v>
      </x:c>
      <x:c r="K6" s="63" t="str">
        <x:v>当前只有目标颜色/色号，没有加工后面料SKU</x:v>
      </x:c>
      <x:c r="L6" s="63" t="str">
        <x:v>执行节点实际产出数量</x:v>
      </x:c>
      <x:c r="M6" s="63" t="str">
        <x:v>23个细状态</x:v>
      </x:c>
      <x:c r="N6" s="63" t="str">
        <x:v>统一五态</x:v>
      </x:c>
      <x:c r="O6" s="63" t="str">
        <x:v>允许：水溶、染色及必要后处理进度；不作为列表主状态</x:v>
      </x:c>
      <x:c r="P6" s="63" t="str">
        <x:v>无对象图；只有工序凭证图</x:v>
      </x:c>
      <x:c r="Q6" s="63" t="str">
        <x:v>能表达白坯+目标黑色，但不能正式表达白坯SKU→黑色面料SKU</x:v>
      </x:c>
      <x:c r="R6" s="63" t="str">
        <x:v>/Users/laoer/Documents/higoods/src/data/fcs/dyeing-task-domain.ts:100-201</x:v>
      </x:c>
      <x:c r="S6" s="63" t="str">
        <x:v>待核查</x:v>
      </x:c>
      <x:c r="T6" s="63" t="str"/>
    </x:row>
    <x:row r="7" ht="108" customHeight="1">
      <x:c r="A7" s="63" t="str">
        <x:v>WO-03</x:v>
      </x:c>
      <x:c r="B7" s="63" t="str">
        <x:v>准备阶段</x:v>
      </x:c>
      <x:c r="C7" s="63" t="str">
        <x:v>印花</x:v>
      </x:c>
      <x:c r="D7" s="63" t="str">
        <x:v>印花加工单</x:v>
      </x:c>
      <x:c r="E7" s="63" t="str">
        <x:v>生产单、备货、裁片补料；无采购来源</x:v>
      </x:c>
      <x:c r="F7" s="63" t="str">
        <x:v>生产、备货、补料；采购坯料后委外印花时应记录采购供料来源</x:v>
      </x:c>
      <x:c r="G7" s="63" t="str">
        <x:v>面料或裁片</x:v>
      </x:c>
      <x:c r="H7" s="63" t="str">
        <x:v>面料：物料SKU；裁片：应使用生产单+部位+颜色+尺码+菲票，不认定裁片SKU</x:v>
      </x:c>
      <x:c r="I7" s="63" t="str">
        <x:v>计划数量；执行节点实际投入数量</x:v>
      </x:c>
      <x:c r="J7" s="63" t="str">
        <x:v>面料或裁片</x:v>
      </x:c>
      <x:c r="K7" s="63" t="str">
        <x:v>当前没有独立产出对象；仍沿用materialSku</x:v>
      </x:c>
      <x:c r="L7" s="63" t="str">
        <x:v>执行节点实际产出数量</x:v>
      </x:c>
      <x:c r="M7" s="63" t="str">
        <x:v>17个细状态</x:v>
      </x:c>
      <x:c r="N7" s="63" t="str">
        <x:v>统一五态</x:v>
      </x:c>
      <x:c r="O7" s="63" t="str">
        <x:v>允许保留必要的调色测试、打印/转印进度</x:v>
      </x:c>
      <x:c r="P7" s="63" t="str">
        <x:v>无对象图；只有工序凭证图</x:v>
      </x:c>
      <x:c r="Q7" s="63" t="str">
        <x:v>裁片场景materialSku字段含义不清；加工产出身份缺失</x:v>
      </x:c>
      <x:c r="R7" s="63" t="str">
        <x:v>/Users/laoer/Documents/higoods/src/data/fcs/printing-task-domain.ts:53-157</x:v>
      </x:c>
      <x:c r="S7" s="63" t="str">
        <x:v>待核查</x:v>
      </x:c>
      <x:c r="T7" s="63" t="str"/>
    </x:row>
    <x:row r="8" ht="108" customHeight="1">
      <x:c r="A8" s="63" t="str">
        <x:v>WO-04</x:v>
      </x:c>
      <x:c r="B8" s="63" t="str">
        <x:v>裁床裁后处理</x:v>
      </x:c>
      <x:c r="C8" s="63" t="str">
        <x:v>捆条</x:v>
      </x:c>
      <x:c r="D8" s="63" t="str">
        <x:v>捆条加工单</x:v>
      </x:c>
      <x:c r="E8" s="63" t="str">
        <x:v>裁片单、唛架方案、铺布单、菲票，向上关联生产单</x:v>
      </x:c>
      <x:c r="F8" s="63" t="str">
        <x:v>生产为主；补料是否单独触发捆条待确认</x:v>
      </x:c>
      <x:c r="G8" s="63" t="str">
        <x:v>面料</x:v>
      </x:c>
      <x:c r="H8" s="63" t="str">
        <x:v>物料SKU+名称+颜色+门幅+接收记录</x:v>
      </x:c>
      <x:c r="I8" s="63" t="str">
        <x:v>需领长度、实领长度</x:v>
      </x:c>
      <x:c r="J8" s="63" t="str">
        <x:v>捆条</x:v>
      </x:c>
      <x:c r="K8" s="63" t="str">
        <x:v>捆条编号+名称+宽度+裁切方式+菲票</x:v>
      </x:c>
      <x:c r="L8" s="63" t="str">
        <x:v>计划米数、实际米数</x:v>
      </x:c>
      <x:c r="M8" s="63" t="str">
        <x:v>主状态4个，另有接收/入仓/交出/差异状态</x:v>
      </x:c>
      <x:c r="N8" s="63" t="str">
        <x:v>统一五态</x:v>
      </x:c>
      <x:c r="O8" s="63" t="str">
        <x:v>不允许；接收、入仓和差异作为事实/异常</x:v>
      </x:c>
      <x:c r="P8" s="63" t="str">
        <x:v>投入面料有图；产出捆条无图</x:v>
      </x:c>
      <x:c r="Q8" s="63" t="str">
        <x:v>数量较完整，但产出对象结构和图片不完整</x:v>
      </x:c>
      <x:c r="R8" s="63" t="str">
        <x:v>/Users/laoer/Documents/higoods/src/pages/process-factory/cutting/special-processes-model.ts:48-228</x:v>
      </x:c>
      <x:c r="S8" s="63" t="str">
        <x:v>待核查</x:v>
      </x:c>
      <x:c r="T8" s="63" t="str"/>
    </x:row>
    <x:row r="9" ht="108" customHeight="1">
      <x:c r="A9" s="63" t="str">
        <x:v>WO-05</x:v>
      </x:c>
      <x:c r="B9" s="63" t="str">
        <x:v>生产阶段</x:v>
      </x:c>
      <x:c r="C9" s="63" t="str">
        <x:v>毛织</x:v>
      </x:c>
      <x:c r="D9" s="63" t="str">
        <x:v>毛织加工单</x:v>
      </x:c>
      <x:c r="E9" s="63" t="str">
        <x:v>生产单→技术包/BOM</x:v>
      </x:c>
      <x:c r="F9" s="63" t="str">
        <x:v>当前确认生产来源；备货/采购/补料边界待确认</x:v>
      </x:c>
      <x:c r="G9" s="63" t="str">
        <x:v>纱线</x:v>
      </x:c>
      <x:c r="H9" s="63" t="str">
        <x:v>纱线SKU+批次+接收记录</x:v>
      </x:c>
      <x:c r="I9" s="63" t="str">
        <x:v>实际接收数量，单位kg</x:v>
      </x:c>
      <x:c r="J9" s="63" t="str">
        <x:v>整件毛织或毛织部位</x:v>
      </x:c>
      <x:c r="K9" s="63" t="str">
        <x:v>整件：成衣SKU；部位：毛织专用产出编码，不推广为普通裁片SKU</x:v>
      </x:c>
      <x:c r="L9" s="63" t="str">
        <x:v>计划/填报/交出数量，单位件</x:v>
      </x:c>
      <x:c r="M9" s="63" t="str">
        <x:v>未加工、加工中、已完成；齐套和交出另算</x:v>
      </x:c>
      <x:c r="N9" s="63" t="str">
        <x:v>统一五态</x:v>
      </x:c>
      <x:c r="O9" s="63" t="str">
        <x:v>不允许；纱线齐套只作为能否开工条件</x:v>
      </x:c>
      <x:c r="P9" s="63" t="str">
        <x:v>只有款式图；无逐项纱线和产出图</x:v>
      </x:c>
      <x:c r="Q9" s="63" t="str">
        <x:v>最接近投入/产出模型，但图片和统一对象结构仍缺失</x:v>
      </x:c>
      <x:c r="R9" s="63" t="str">
        <x:v>/Users/laoer/Documents/higoods/src/data/fcs/wool-domain/types.ts:1-55</x:v>
      </x:c>
      <x:c r="S9" s="63" t="str">
        <x:v>待核查</x:v>
      </x:c>
      <x:c r="T9" s="63" t="str"/>
    </x:row>
    <x:row r="10" ht="108" customHeight="1">
      <x:c r="A10" s="63" t="str">
        <x:v>WO-06</x:v>
      </x:c>
      <x:c r="B10" s="63" t="str">
        <x:v>生产阶段</x:v>
      </x:c>
      <x:c r="C10" s="63" t="str">
        <x:v>辅助工艺</x:v>
      </x:c>
      <x:c r="D10" s="63" t="str">
        <x:v>打揽、打条、烫画、直喷、绣花、压褶、贝壳绣、曲牙绣、一字贝绣花</x:v>
      </x:c>
      <x:c r="E10" s="63" t="str">
        <x:v>当前只支持生产单生成</x:v>
      </x:c>
      <x:c r="F10" s="63" t="str">
        <x:v>至少生产、补料；面料绣花还可能来自备货或采购委外场景</x:v>
      </x:c>
      <x:c r="G10" s="63" t="str">
        <x:v>裁片、面料或成衣，按具体工艺决定</x:v>
      </x:c>
      <x:c r="H10" s="63" t="str">
        <x:v>裁片：生产单+部位+颜色+尺码+菲票/袋；面料：物料SKU；成衣：颜色+尺码SKU</x:v>
      </x:c>
      <x:c r="I10" s="63" t="str">
        <x:v>计划、实收数量</x:v>
      </x:c>
      <x:c r="J10" s="63" t="str">
        <x:v>与投入对象同类，或面料加工后形成新物料身份</x:v>
      </x:c>
      <x:c r="K10" s="63" t="str">
        <x:v>裁片/成衣通常保留对象身份；面料绣花可能形成加工后SKU</x:v>
      </x:c>
      <x:c r="L10" s="63" t="str">
        <x:v>完成数量、待交出数量</x:v>
      </x:c>
      <x:c r="M10" s="63" t="str">
        <x:v>待接收、加工中、已完结，另有分配字段</x:v>
      </x:c>
      <x:c r="N10" s="63" t="str">
        <x:v>统一五态</x:v>
      </x:c>
      <x:c r="O10" s="63" t="str">
        <x:v>不允许</x:v>
      </x:c>
      <x:c r="P10" s="63" t="str">
        <x:v>无投入/产出对象图；动作照片不能替代对象图</x:v>
      </x:c>
      <x:c r="Q10" s="63" t="str">
        <x:v>补料绣花、面料绣花和采购委外均未完整建模</x:v>
      </x:c>
      <x:c r="R10" s="63" t="str">
        <x:v>/Users/laoer/Documents/higoods/src/data/fcs/special-craft-task-orders.ts:46-259；special-craft-operations.ts:17-216</x:v>
      </x:c>
      <x:c r="S10" s="63" t="str">
        <x:v>待核查</x:v>
      </x:c>
      <x:c r="T10" s="63" t="str"/>
    </x:row>
    <x:row r="11" ht="108" customHeight="1">
      <x:c r="A11" s="63" t="str">
        <x:v>WO-07</x:v>
      </x:c>
      <x:c r="B11" s="63" t="str">
        <x:v>生产阶段</x:v>
      </x:c>
      <x:c r="C11" s="63" t="str">
        <x:v>特种工艺</x:v>
      </x:c>
      <x:c r="D11" s="63" t="str">
        <x:v>模板工序、激光开袋、特种车缝（花样机）、橡筋定长切割</x:v>
      </x:c>
      <x:c r="E11" s="63" t="str">
        <x:v>当前只支持生产单生成</x:v>
      </x:c>
      <x:c r="F11" s="63" t="str">
        <x:v>至少生产、补料；橡筋等辅料加工可能关联采购/库存供料</x:v>
      </x:c>
      <x:c r="G11" s="63" t="str">
        <x:v>裁片或辅料</x:v>
      </x:c>
      <x:c r="H11" s="63" t="str">
        <x:v>裁片组合标识；辅料使用物料SKU/批次</x:v>
      </x:c>
      <x:c r="I11" s="63" t="str">
        <x:v>计划、实收数量</x:v>
      </x:c>
      <x:c r="J11" s="63" t="str">
        <x:v>与投入同类；加工状态改变</x:v>
      </x:c>
      <x:c r="K11" s="63" t="str">
        <x:v>当前没有独立产出对象字段</x:v>
      </x:c>
      <x:c r="L11" s="63" t="str">
        <x:v>完成数量、待交出数量</x:v>
      </x:c>
      <x:c r="M11" s="63" t="str">
        <x:v>待接收、加工中、已完结</x:v>
      </x:c>
      <x:c r="N11" s="63" t="str">
        <x:v>统一五态</x:v>
      </x:c>
      <x:c r="O11" s="63" t="str">
        <x:v>不允许</x:v>
      </x:c>
      <x:c r="P11" s="63" t="str">
        <x:v>无投入/产出对象图</x:v>
      </x:c>
      <x:c r="Q11" s="63" t="str">
        <x:v>橡筋定长切割主数据为辅料，但运行时解析成已裁部位</x:v>
      </x:c>
      <x:c r="R11" s="63" t="str">
        <x:v>/Users/laoer/Documents/higoods/src/data/fcs/process-craft-dict.ts:540-554,594-599</x:v>
      </x:c>
      <x:c r="S11" s="63" t="str">
        <x:v>待核查</x:v>
      </x:c>
      <x:c r="T11" s="63" t="str"/>
    </x:row>
    <x:row r="12" ht="108" customHeight="1">
      <x:c r="A12" s="64" t="str">
        <x:v>WO-08</x:v>
      </x:c>
      <x:c r="B12" s="64" t="str">
        <x:v>后道阶段</x:v>
      </x:c>
      <x:c r="C12" s="64" t="str">
        <x:v>实际工序</x:v>
      </x:c>
      <x:c r="D12" s="64" t="str">
        <x:v>开扣眼、装扣子、烫包</x:v>
      </x:c>
      <x:c r="E12" s="64" t="str">
        <x:v>质检完成且需要后道；关联生产单、车缝任务和质检单</x:v>
      </x:c>
      <x:c r="F12" s="64" t="str">
        <x:v>生产为主；补料/返补成衣重入后道的边界待确认</x:v>
      </x:c>
      <x:c r="G12" s="64" t="str">
        <x:v>成衣</x:v>
      </x:c>
      <x:c r="H12" s="64" t="str">
        <x:v>款式/SPU下的颜色+尺码SKU，不含潘通和花型</x:v>
      </x:c>
      <x:c r="I12" s="64" t="str">
        <x:v>计划数量、接收数量</x:v>
      </x:c>
      <x:c r="J12" s="64" t="str">
        <x:v>成衣</x:v>
      </x:c>
      <x:c r="K12" s="64" t="str">
        <x:v>沿用同一成衣SKU，记录完成工序事实</x:v>
      </x:c>
      <x:c r="L12" s="64" t="str">
        <x:v>完成数量、交出数量</x:v>
      </x:c>
      <x:c r="M12" s="64" t="str">
        <x:v>9个主状态，并混入质检/复检</x:v>
      </x:c>
      <x:c r="N12" s="64" t="str">
        <x:v>统一五态</x:v>
      </x:c>
      <x:c r="O12" s="64" t="str">
        <x:v>不允许；质检和复检是关联流程，不是加工状态</x:v>
      </x:c>
      <x:c r="P12" s="64" t="str">
        <x:v>成衣SKU有图，但未区分投入图和产出图</x:v>
      </x:c>
      <x:c r="Q12" s="64" t="str">
        <x:v>质检/复检与加工状态混合；没有独立产出对象结构</x:v>
      </x:c>
      <x:c r="R12" s="64" t="str">
        <x:v>/Users/laoer/Documents/higoods/src/data/fcs/post-finishing-domain.ts:7-16,47-62,115-137,705-763</x:v>
      </x:c>
      <x:c r="S12" s="64" t="str">
        <x:v>待核查</x:v>
      </x:c>
      <x:c r="T12" s="64" t="str"/>
    </x:row>
  </x:sheetData>
  <x:mergeCells>
    <x:mergeCell ref="A1:T1"/>
    <x:mergeCell ref="A2:T2"/>
  </x:mergeCells>
  <x:conditionalFormatting sqref="S5:S12">
    <x:cfRule type="containsText" dxfId="0" priority="1" operator="containsText" text="认可"/>
    <x:cfRule type="containsText" dxfId="1" priority="2" operator="containsText" text="需修改"/>
    <x:cfRule type="containsText" dxfId="2" priority="3" operator="containsText" text="待核查"/>
  </x:conditionalFormatting>
  <x:dataValidations count="1">
    <x:dataValidation type="list" sqref="S5:S12">
      <x:formula1>"待核查,认可,需修改,不适用"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218fabc1c84f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4" hidden="0" customWidth="1"/>
    <x:col min="4" max="4" width="30" hidden="0" customWidth="1"/>
    <x:col min="5" max="5" width="18" hidden="0" customWidth="1"/>
    <x:col min="6" max="6" width="20" hidden="0" customWidth="1"/>
    <x:col min="7" max="7" width="28" hidden="0" customWidth="1"/>
    <x:col min="8" max="8" width="24" hidden="0" customWidth="1"/>
    <x:col min="9" max="9" width="34" hidden="0" customWidth="1"/>
    <x:col min="10" max="10" width="25" hidden="0" customWidth="1"/>
    <x:col min="11" max="11" width="25" hidden="0" customWidth="1"/>
    <x:col min="12" max="12" width="31" hidden="0" customWidth="1"/>
    <x:col min="13" max="13" width="35" hidden="0" customWidth="1"/>
    <x:col min="14" max="14" width="13" hidden="0" customWidth="1"/>
    <x:col min="15" max="15" width="25" hidden="0" customWidth="1"/>
  </x:cols>
  <x:sheetData>
    <x:row r="1" ht="34" customHeight="1">
      <x:c r="A1" s="4" t="str">
        <x:v>当前开放工艺明细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4" customHeight="1">
      <x:c r="A2" s="8" t="str">
        <x:v>按当前代码运行时生成的19个加工单/工艺入口展开。对象修正优先采用已确认业务口径。 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 ht="42" customHeight="1">
      <x:c r="A4" s="51" t="str">
        <x:v>序号</x:v>
      </x:c>
      <x:c r="B4" s="51" t="str">
        <x:v>阶段</x:v>
      </x:c>
      <x:c r="C4" s="51" t="str">
        <x:v>管理域</x:v>
      </x:c>
      <x:c r="D4" s="51" t="str">
        <x:v>加工单/工艺</x:v>
      </x:c>
      <x:c r="E4" s="51" t="str">
        <x:v>当前默认对象</x:v>
      </x:c>
      <x:c r="F4" s="51" t="str">
        <x:v>当前支持对象</x:v>
      </x:c>
      <x:c r="G4" s="51" t="str">
        <x:v>已确认对象修正</x:v>
      </x:c>
      <x:c r="H4" s="51" t="str">
        <x:v>当前来源</x:v>
      </x:c>
      <x:c r="I4" s="51" t="str">
        <x:v>已确认来源修正</x:v>
      </x:c>
      <x:c r="J4" s="51" t="str">
        <x:v>目标一级状态</x:v>
      </x:c>
      <x:c r="K4" s="51" t="str">
        <x:v>内部工艺进度</x:v>
      </x:c>
      <x:c r="L4" s="51" t="str">
        <x:v>当前代码风险</x:v>
      </x:c>
      <x:c r="M4" s="51" t="str">
        <x:v>代码依据</x:v>
      </x:c>
      <x:c r="N4" s="51" t="str">
        <x:v>核查结论</x:v>
      </x:c>
      <x:c r="O4" s="51" t="str">
        <x:v>核查备注</x:v>
      </x:c>
    </x:row>
    <x:row r="5" ht="78" customHeight="1">
      <x:c r="A5" s="62" t="n">
        <x:v>1</x:v>
      </x:c>
      <x:c r="B5" s="62" t="str">
        <x:v>准备</x:v>
      </x:c>
      <x:c r="C5" s="62" t="str">
        <x:v>染色</x:v>
      </x:c>
      <x:c r="D5" s="62" t="str">
        <x:v>独立水溶加工单</x:v>
      </x:c>
      <x:c r="E5" s="62" t="str">
        <x:v>BOM物料</x:v>
      </x:c>
      <x:c r="F5" s="62" t="str">
        <x:v>BOM物料</x:v>
      </x:c>
      <x:c r="G5" s="62" t="str">
        <x:v>保持物料对象；产出身份待确认</x:v>
      </x:c>
      <x:c r="H5" s="62" t="str">
        <x:v>生产单</x:v>
      </x:c>
      <x:c r="I5" s="62" t="str">
        <x:v>含水溶染色继承染色来源；独立水溶其他来源待确认</x:v>
      </x:c>
      <x:c r="J5" s="62" t="str">
        <x:v>待分配→待接料→加工中→待交出→已完成</x:v>
      </x:c>
      <x:c r="K5" s="62" t="str">
        <x:v>不保留细分</x:v>
      </x:c>
      <x:c r="L5" s="62" t="str">
        <x:v>当前9个细状态过多</x:v>
      </x:c>
      <x:c r="M5" s="62" t="str">
        <x:v>water-soluble-task-domain.ts:14-83</x:v>
      </x:c>
      <x:c r="N5" s="62" t="str">
        <x:v>待核查</x:v>
      </x:c>
      <x:c r="O5" s="62" t="str"/>
    </x:row>
    <x:row r="6" ht="78" customHeight="1">
      <x:c r="A6" s="63" t="n">
        <x:v>2</x:v>
      </x:c>
      <x:c r="B6" s="63" t="str">
        <x:v>准备</x:v>
      </x:c>
      <x:c r="C6" s="63" t="str">
        <x:v>染色</x:v>
      </x:c>
      <x:c r="D6" s="63" t="str">
        <x:v>染色加工单（可含水溶）</x:v>
      </x:c>
      <x:c r="E6" s="63" t="str">
        <x:v>面料</x:v>
      </x:c>
      <x:c r="F6" s="63" t="str">
        <x:v>面料</x:v>
      </x:c>
      <x:c r="G6" s="63" t="str">
        <x:v>加工前/后分别绑定面料SKU或加工状态</x:v>
      </x:c>
      <x:c r="H6" s="63" t="str">
        <x:v>生产/备货/裁片补料</x:v>
      </x:c>
      <x:c r="I6" s="63" t="str">
        <x:v>采购坯料可作为投入供料来源</x:v>
      </x:c>
      <x:c r="J6" s="63" t="str">
        <x:v>待分配→待接料→加工中→待交出→已完成</x:v>
      </x:c>
      <x:c r="K6" s="63" t="str">
        <x:v>允许：水溶→染色及必要后处理</x:v>
      </x:c>
      <x:c r="L6" s="63" t="str">
        <x:v>缺加工后SKU</x:v>
      </x:c>
      <x:c r="M6" s="63" t="str">
        <x:v>dyeing-task-domain.ts:100-201</x:v>
      </x:c>
      <x:c r="N6" s="63" t="str">
        <x:v>待核查</x:v>
      </x:c>
      <x:c r="O6" s="63" t="str"/>
    </x:row>
    <x:row r="7" ht="78" customHeight="1">
      <x:c r="A7" s="63" t="n">
        <x:v>3</x:v>
      </x:c>
      <x:c r="B7" s="63" t="str">
        <x:v>准备</x:v>
      </x:c>
      <x:c r="C7" s="63" t="str">
        <x:v>印花</x:v>
      </x:c>
      <x:c r="D7" s="63" t="str">
        <x:v>印花加工单</x:v>
      </x:c>
      <x:c r="E7" s="63" t="str">
        <x:v>面料/裁片</x:v>
      </x:c>
      <x:c r="F7" s="63" t="str">
        <x:v>面料/裁片</x:v>
      </x:c>
      <x:c r="G7" s="63" t="str">
        <x:v>裁片不用SKU；面料使用加工前/后SKU</x:v>
      </x:c>
      <x:c r="H7" s="63" t="str">
        <x:v>生产/备货/裁片补料</x:v>
      </x:c>
      <x:c r="I7" s="63" t="str">
        <x:v>采购坯料可作为投入供料来源</x:v>
      </x:c>
      <x:c r="J7" s="63" t="str">
        <x:v>待分配→待接料→加工中→待交出→已完成</x:v>
      </x:c>
      <x:c r="K7" s="63" t="str">
        <x:v>允许必要印花进度</x:v>
      </x:c>
      <x:c r="L7" s="63" t="str">
        <x:v>裁片materialSku含义不清；缺产出身份</x:v>
      </x:c>
      <x:c r="M7" s="63" t="str">
        <x:v>printing-task-domain.ts:76-157</x:v>
      </x:c>
      <x:c r="N7" s="63" t="str">
        <x:v>待核查</x:v>
      </x:c>
      <x:c r="O7" s="63" t="str"/>
    </x:row>
    <x:row r="8" ht="78" customHeight="1">
      <x:c r="A8" s="63" t="n">
        <x:v>4</x:v>
      </x:c>
      <x:c r="B8" s="63" t="str">
        <x:v>裁后</x:v>
      </x:c>
      <x:c r="C8" s="63" t="str">
        <x:v>裁床</x:v>
      </x:c>
      <x:c r="D8" s="63" t="str">
        <x:v>捆条加工单</x:v>
      </x:c>
      <x:c r="E8" s="63" t="str">
        <x:v>面料</x:v>
      </x:c>
      <x:c r="F8" s="63" t="str">
        <x:v>面料→捆条</x:v>
      </x:c>
      <x:c r="G8" s="63" t="str">
        <x:v>产出对象明确为捆条</x:v>
      </x:c>
      <x:c r="H8" s="63" t="str">
        <x:v>裁片单/唛架/铺布/生产</x:v>
      </x:c>
      <x:c r="I8" s="63" t="str">
        <x:v>补料触发边界待确认</x:v>
      </x:c>
      <x:c r="J8" s="63" t="str">
        <x:v>待分配→待接料→加工中→待交出→已完成</x:v>
      </x:c>
      <x:c r="K8" s="63" t="str">
        <x:v>不保留</x:v>
      </x:c>
      <x:c r="L8" s="63" t="str">
        <x:v>产出图片缺失</x:v>
      </x:c>
      <x:c r="M8" s="63" t="str">
        <x:v>special-processes-model.ts:125-228</x:v>
      </x:c>
      <x:c r="N8" s="63" t="str">
        <x:v>待核查</x:v>
      </x:c>
      <x:c r="O8" s="63" t="str"/>
    </x:row>
    <x:row r="9" ht="78" customHeight="1">
      <x:c r="A9" s="63" t="n">
        <x:v>5</x:v>
      </x:c>
      <x:c r="B9" s="63" t="str">
        <x:v>生产</x:v>
      </x:c>
      <x:c r="C9" s="63" t="str">
        <x:v>毛织</x:v>
      </x:c>
      <x:c r="D9" s="63" t="str">
        <x:v>毛织加工单</x:v>
      </x:c>
      <x:c r="E9" s="63" t="str">
        <x:v>纱线</x:v>
      </x:c>
      <x:c r="F9" s="63" t="str">
        <x:v>纱线→整件/毛织部位</x:v>
      </x:c>
      <x:c r="G9" s="63" t="str">
        <x:v>毛织部位编码不等于普通裁片SKU</x:v>
      </x:c>
      <x:c r="H9" s="63" t="str">
        <x:v>生产单</x:v>
      </x:c>
      <x:c r="I9" s="63" t="str">
        <x:v>备货/采购/补料待确认</x:v>
      </x:c>
      <x:c r="J9" s="63" t="str">
        <x:v>待分配→待接料→加工中→待交出→已完成</x:v>
      </x:c>
      <x:c r="K9" s="63" t="str">
        <x:v>不保留；齐套为条件</x:v>
      </x:c>
      <x:c r="L9" s="63" t="str">
        <x:v>对象图不完整</x:v>
      </x:c>
      <x:c r="M9" s="63" t="str">
        <x:v>wool-domain/types.ts:1-55</x:v>
      </x:c>
      <x:c r="N9" s="63" t="str">
        <x:v>待核查</x:v>
      </x:c>
      <x:c r="O9" s="63" t="str"/>
    </x:row>
    <x:row r="10" ht="78" customHeight="1">
      <x:c r="A10" s="63" t="n">
        <x:v>6</x:v>
      </x:c>
      <x:c r="B10" s="63" t="str">
        <x:v>生产</x:v>
      </x:c>
      <x:c r="C10" s="63" t="str">
        <x:v>辅助工艺</x:v>
      </x:c>
      <x:c r="D10" s="63" t="str">
        <x:v>打揽加工单</x:v>
      </x:c>
      <x:c r="E10" s="63" t="str">
        <x:v>裁片</x:v>
      </x:c>
      <x:c r="F10" s="63" t="str">
        <x:v>裁片</x:v>
      </x:c>
      <x:c r="G10" s="63" t="str">
        <x:v>普通裁片无SKU</x:v>
      </x:c>
      <x:c r="H10" s="63" t="str">
        <x:v>生产单</x:v>
      </x:c>
      <x:c r="I10" s="63" t="str">
        <x:v>补料可触发</x:v>
      </x:c>
      <x:c r="J10" s="63" t="str">
        <x:v>待分配→待接料→加工中→待交出→已完成</x:v>
      </x:c>
      <x:c r="K10" s="63" t="str">
        <x:v>不保留</x:v>
      </x:c>
      <x:c r="L10" s="63" t="str">
        <x:v>来源和产出对象缺失</x:v>
      </x:c>
      <x:c r="M10" s="63" t="str">
        <x:v>special-craft-operations.ts:143-148</x:v>
      </x:c>
      <x:c r="N10" s="63" t="str">
        <x:v>待核查</x:v>
      </x:c>
      <x:c r="O10" s="63" t="str"/>
    </x:row>
    <x:row r="11" ht="78" customHeight="1">
      <x:c r="A11" s="63" t="n">
        <x:v>7</x:v>
      </x:c>
      <x:c r="B11" s="63" t="str">
        <x:v>生产</x:v>
      </x:c>
      <x:c r="C11" s="63" t="str">
        <x:v>辅助工艺</x:v>
      </x:c>
      <x:c r="D11" s="63" t="str">
        <x:v>打条加工单</x:v>
      </x:c>
      <x:c r="E11" s="63" t="str">
        <x:v>裁片</x:v>
      </x:c>
      <x:c r="F11" s="63" t="str">
        <x:v>裁片</x:v>
      </x:c>
      <x:c r="G11" s="63" t="str">
        <x:v>普通裁片无SKU</x:v>
      </x:c>
      <x:c r="H11" s="63" t="str">
        <x:v>生产单</x:v>
      </x:c>
      <x:c r="I11" s="63" t="str">
        <x:v>补料可触发</x:v>
      </x:c>
      <x:c r="J11" s="63" t="str">
        <x:v>待分配→待接料→加工中→待交出→已完成</x:v>
      </x:c>
      <x:c r="K11" s="63" t="str">
        <x:v>不保留</x:v>
      </x:c>
      <x:c r="L11" s="63" t="str">
        <x:v>与裁床捆条边界需保持清楚</x:v>
      </x:c>
      <x:c r="M11" s="63" t="str">
        <x:v>special-craft-operations.ts:129-135</x:v>
      </x:c>
      <x:c r="N11" s="63" t="str">
        <x:v>待核查</x:v>
      </x:c>
      <x:c r="O11" s="63" t="str"/>
    </x:row>
    <x:row r="12" ht="78" customHeight="1">
      <x:c r="A12" s="63" t="n">
        <x:v>8</x:v>
      </x:c>
      <x:c r="B12" s="63" t="str">
        <x:v>生产</x:v>
      </x:c>
      <x:c r="C12" s="63" t="str">
        <x:v>辅助工艺</x:v>
      </x:c>
      <x:c r="D12" s="63" t="str">
        <x:v>烫画加工单</x:v>
      </x:c>
      <x:c r="E12" s="63" t="str">
        <x:v>成衣</x:v>
      </x:c>
      <x:c r="F12" s="63" t="str">
        <x:v>裁片/成衣</x:v>
      </x:c>
      <x:c r="G12" s="63" t="str">
        <x:v>按实际对象分别识别</x:v>
      </x:c>
      <x:c r="H12" s="63" t="str">
        <x:v>生产单</x:v>
      </x:c>
      <x:c r="I12" s="63" t="str">
        <x:v>补料可触发</x:v>
      </x:c>
      <x:c r="J12" s="63" t="str">
        <x:v>待分配→待接料→加工中→待交出→已完成</x:v>
      </x:c>
      <x:c r="K12" s="63" t="str">
        <x:v>不保留</x:v>
      </x:c>
      <x:c r="L12" s="63" t="str">
        <x:v>产出对象/图片缺失</x:v>
      </x:c>
      <x:c r="M12" s="63" t="str">
        <x:v>special-craft-operations.ts:150-155</x:v>
      </x:c>
      <x:c r="N12" s="63" t="str">
        <x:v>待核查</x:v>
      </x:c>
      <x:c r="O12" s="63" t="str"/>
    </x:row>
    <x:row r="13" ht="78" customHeight="1">
      <x:c r="A13" s="63" t="n">
        <x:v>9</x:v>
      </x:c>
      <x:c r="B13" s="63" t="str">
        <x:v>生产</x:v>
      </x:c>
      <x:c r="C13" s="63" t="str">
        <x:v>辅助工艺</x:v>
      </x:c>
      <x:c r="D13" s="63" t="str">
        <x:v>直喷加工单</x:v>
      </x:c>
      <x:c r="E13" s="63" t="str">
        <x:v>裁片</x:v>
      </x:c>
      <x:c r="F13" s="63" t="str">
        <x:v>裁片/成衣</x:v>
      </x:c>
      <x:c r="G13" s="63" t="str">
        <x:v>按实际对象分别识别</x:v>
      </x:c>
      <x:c r="H13" s="63" t="str">
        <x:v>生产单</x:v>
      </x:c>
      <x:c r="I13" s="63" t="str">
        <x:v>补料可触发</x:v>
      </x:c>
      <x:c r="J13" s="63" t="str">
        <x:v>待分配→待接料→加工中→待交出→已完成</x:v>
      </x:c>
      <x:c r="K13" s="63" t="str">
        <x:v>不保留</x:v>
      </x:c>
      <x:c r="L13" s="63" t="str">
        <x:v>产出对象/图片缺失</x:v>
      </x:c>
      <x:c r="M13" s="63" t="str">
        <x:v>special-craft-operations.ts:157-162</x:v>
      </x:c>
      <x:c r="N13" s="63" t="str">
        <x:v>待核查</x:v>
      </x:c>
      <x:c r="O13" s="63" t="str"/>
    </x:row>
    <x:row r="14" ht="78" customHeight="1">
      <x:c r="A14" s="63" t="n">
        <x:v>10</x:v>
      </x:c>
      <x:c r="B14" s="63" t="str">
        <x:v>生产</x:v>
      </x:c>
      <x:c r="C14" s="63" t="str">
        <x:v>辅助工艺</x:v>
      </x:c>
      <x:c r="D14" s="63" t="str">
        <x:v>绣花加工单</x:v>
      </x:c>
      <x:c r="E14" s="63" t="str">
        <x:v>裁片</x:v>
      </x:c>
      <x:c r="F14" s="63" t="str">
        <x:v>当前仅裁片</x:v>
      </x:c>
      <x:c r="G14" s="63" t="str">
        <x:v>必须增加面料；裁片仍无SKU</x:v>
      </x:c>
      <x:c r="H14" s="63" t="str">
        <x:v>生产单</x:v>
      </x:c>
      <x:c r="I14" s="63" t="str">
        <x:v>补料会绣花；采购/备货可能产生面料绣花或提供成品绣花面料</x:v>
      </x:c>
      <x:c r="J14" s="63" t="str">
        <x:v>待分配→待接料→加工中→待交出→已完成</x:v>
      </x:c>
      <x:c r="K14" s="63" t="str">
        <x:v>不保留</x:v>
      </x:c>
      <x:c r="L14" s="63" t="str">
        <x:v>当前对象和来源均过窄</x:v>
      </x:c>
      <x:c r="M14" s="63" t="str">
        <x:v>special-craft-operations.ts:121-128</x:v>
      </x:c>
      <x:c r="N14" s="63" t="str">
        <x:v>待核查</x:v>
      </x:c>
      <x:c r="O14" s="63" t="str"/>
    </x:row>
    <x:row r="15" ht="78" customHeight="1">
      <x:c r="A15" s="63" t="n">
        <x:v>11</x:v>
      </x:c>
      <x:c r="B15" s="63" t="str">
        <x:v>生产</x:v>
      </x:c>
      <x:c r="C15" s="63" t="str">
        <x:v>辅助工艺</x:v>
      </x:c>
      <x:c r="D15" s="63" t="str">
        <x:v>压褶加工单</x:v>
      </x:c>
      <x:c r="E15" s="63" t="str">
        <x:v>裁片</x:v>
      </x:c>
      <x:c r="F15" s="63" t="str">
        <x:v>裁片</x:v>
      </x:c>
      <x:c r="G15" s="63" t="str">
        <x:v>普通裁片无SKU</x:v>
      </x:c>
      <x:c r="H15" s="63" t="str">
        <x:v>生产单</x:v>
      </x:c>
      <x:c r="I15" s="63" t="str">
        <x:v>补料可触发</x:v>
      </x:c>
      <x:c r="J15" s="63" t="str">
        <x:v>待分配→待接料→加工中→待交出→已完成</x:v>
      </x:c>
      <x:c r="K15" s="63" t="str">
        <x:v>不保留</x:v>
      </x:c>
      <x:c r="L15" s="63" t="str">
        <x:v>产出对象/图片缺失</x:v>
      </x:c>
      <x:c r="M15" s="63" t="str">
        <x:v>special-craft-operations.ts:136-142</x:v>
      </x:c>
      <x:c r="N15" s="63" t="str">
        <x:v>待核查</x:v>
      </x:c>
      <x:c r="O15" s="63" t="str"/>
    </x:row>
    <x:row r="16" ht="78" customHeight="1">
      <x:c r="A16" s="63" t="n">
        <x:v>12</x:v>
      </x:c>
      <x:c r="B16" s="63" t="str">
        <x:v>生产</x:v>
      </x:c>
      <x:c r="C16" s="63" t="str">
        <x:v>辅助工艺</x:v>
      </x:c>
      <x:c r="D16" s="63" t="str">
        <x:v>贝壳绣加工单</x:v>
      </x:c>
      <x:c r="E16" s="63" t="str">
        <x:v>裁片</x:v>
      </x:c>
      <x:c r="F16" s="63" t="str">
        <x:v>裁片</x:v>
      </x:c>
      <x:c r="G16" s="63" t="str">
        <x:v>是否存在面料对象待现场确认</x:v>
      </x:c>
      <x:c r="H16" s="63" t="str">
        <x:v>生产单</x:v>
      </x:c>
      <x:c r="I16" s="63" t="str">
        <x:v>补料可触发</x:v>
      </x:c>
      <x:c r="J16" s="63" t="str">
        <x:v>待分配→待接料→加工中→待交出→已完成</x:v>
      </x:c>
      <x:c r="K16" s="63" t="str">
        <x:v>不保留</x:v>
      </x:c>
      <x:c r="L16" s="63" t="str">
        <x:v>对象边界待确认</x:v>
      </x:c>
      <x:c r="M16" s="63" t="str">
        <x:v>special-craft-operations.ts:164-169</x:v>
      </x:c>
      <x:c r="N16" s="63" t="str">
        <x:v>待核查</x:v>
      </x:c>
      <x:c r="O16" s="63" t="str"/>
    </x:row>
    <x:row r="17" ht="78" customHeight="1">
      <x:c r="A17" s="63" t="n">
        <x:v>13</x:v>
      </x:c>
      <x:c r="B17" s="63" t="str">
        <x:v>生产</x:v>
      </x:c>
      <x:c r="C17" s="63" t="str">
        <x:v>辅助工艺</x:v>
      </x:c>
      <x:c r="D17" s="63" t="str">
        <x:v>曲牙绣加工单</x:v>
      </x:c>
      <x:c r="E17" s="63" t="str">
        <x:v>裁片</x:v>
      </x:c>
      <x:c r="F17" s="63" t="str">
        <x:v>裁片</x:v>
      </x:c>
      <x:c r="G17" s="63" t="str">
        <x:v>是否存在面料对象待现场确认</x:v>
      </x:c>
      <x:c r="H17" s="63" t="str">
        <x:v>生产单</x:v>
      </x:c>
      <x:c r="I17" s="63" t="str">
        <x:v>补料可触发</x:v>
      </x:c>
      <x:c r="J17" s="63" t="str">
        <x:v>待分配→待接料→加工中→待交出→已完成</x:v>
      </x:c>
      <x:c r="K17" s="63" t="str">
        <x:v>不保留</x:v>
      </x:c>
      <x:c r="L17" s="63" t="str">
        <x:v>对象边界待确认</x:v>
      </x:c>
      <x:c r="M17" s="63" t="str">
        <x:v>special-craft-operations.ts:171-176</x:v>
      </x:c>
      <x:c r="N17" s="63" t="str">
        <x:v>待核查</x:v>
      </x:c>
      <x:c r="O17" s="63" t="str"/>
    </x:row>
    <x:row r="18" ht="78" customHeight="1">
      <x:c r="A18" s="63" t="n">
        <x:v>14</x:v>
      </x:c>
      <x:c r="B18" s="63" t="str">
        <x:v>生产</x:v>
      </x:c>
      <x:c r="C18" s="63" t="str">
        <x:v>辅助工艺</x:v>
      </x:c>
      <x:c r="D18" s="63" t="str">
        <x:v>一字贝绣花加工单</x:v>
      </x:c>
      <x:c r="E18" s="63" t="str">
        <x:v>裁片</x:v>
      </x:c>
      <x:c r="F18" s="63" t="str">
        <x:v>裁片</x:v>
      </x:c>
      <x:c r="G18" s="63" t="str">
        <x:v>是否存在面料对象待现场确认</x:v>
      </x:c>
      <x:c r="H18" s="63" t="str">
        <x:v>生产单</x:v>
      </x:c>
      <x:c r="I18" s="63" t="str">
        <x:v>补料可触发</x:v>
      </x:c>
      <x:c r="J18" s="63" t="str">
        <x:v>待分配→待接料→加工中→待交出→已完成</x:v>
      </x:c>
      <x:c r="K18" s="63" t="str">
        <x:v>不保留</x:v>
      </x:c>
      <x:c r="L18" s="63" t="str">
        <x:v>对象边界待确认</x:v>
      </x:c>
      <x:c r="M18" s="63" t="str">
        <x:v>special-craft-operations.ts:178-183</x:v>
      </x:c>
      <x:c r="N18" s="63" t="str">
        <x:v>待核查</x:v>
      </x:c>
      <x:c r="O18" s="63" t="str"/>
    </x:row>
    <x:row r="19" ht="78" customHeight="1">
      <x:c r="A19" s="63" t="n">
        <x:v>15</x:v>
      </x:c>
      <x:c r="B19" s="63" t="str">
        <x:v>生产</x:v>
      </x:c>
      <x:c r="C19" s="63" t="str">
        <x:v>特种工艺</x:v>
      </x:c>
      <x:c r="D19" s="63" t="str">
        <x:v>模板工序加工单</x:v>
      </x:c>
      <x:c r="E19" s="63" t="str">
        <x:v>裁片</x:v>
      </x:c>
      <x:c r="F19" s="63" t="str">
        <x:v>裁片</x:v>
      </x:c>
      <x:c r="G19" s="63" t="str">
        <x:v>普通裁片无SKU</x:v>
      </x:c>
      <x:c r="H19" s="63" t="str">
        <x:v>生产单</x:v>
      </x:c>
      <x:c r="I19" s="63" t="str">
        <x:v>补料可触发</x:v>
      </x:c>
      <x:c r="J19" s="63" t="str">
        <x:v>待分配→待接料→加工中→待交出→已完成</x:v>
      </x:c>
      <x:c r="K19" s="63" t="str">
        <x:v>不保留</x:v>
      </x:c>
      <x:c r="L19" s="63" t="str">
        <x:v>产出对象/图片缺失</x:v>
      </x:c>
      <x:c r="M19" s="63" t="str">
        <x:v>special-craft-operations.ts:188-194</x:v>
      </x:c>
      <x:c r="N19" s="63" t="str">
        <x:v>待核查</x:v>
      </x:c>
      <x:c r="O19" s="63" t="str"/>
    </x:row>
    <x:row r="20" ht="78" customHeight="1">
      <x:c r="A20" s="63" t="n">
        <x:v>16</x:v>
      </x:c>
      <x:c r="B20" s="63" t="str">
        <x:v>生产</x:v>
      </x:c>
      <x:c r="C20" s="63" t="str">
        <x:v>特种工艺</x:v>
      </x:c>
      <x:c r="D20" s="63" t="str">
        <x:v>激光开袋加工单</x:v>
      </x:c>
      <x:c r="E20" s="63" t="str">
        <x:v>裁片</x:v>
      </x:c>
      <x:c r="F20" s="63" t="str">
        <x:v>裁片</x:v>
      </x:c>
      <x:c r="G20" s="63" t="str">
        <x:v>普通裁片无SKU</x:v>
      </x:c>
      <x:c r="H20" s="63" t="str">
        <x:v>生产单</x:v>
      </x:c>
      <x:c r="I20" s="63" t="str">
        <x:v>补料可触发</x:v>
      </x:c>
      <x:c r="J20" s="63" t="str">
        <x:v>待分配→待接料→加工中→待交出→已完成</x:v>
      </x:c>
      <x:c r="K20" s="63" t="str">
        <x:v>不保留</x:v>
      </x:c>
      <x:c r="L20" s="63" t="str">
        <x:v>产出对象/图片缺失</x:v>
      </x:c>
      <x:c r="M20" s="63" t="str">
        <x:v>special-craft-operations.ts:195-201</x:v>
      </x:c>
      <x:c r="N20" s="63" t="str">
        <x:v>待核查</x:v>
      </x:c>
      <x:c r="O20" s="63" t="str"/>
    </x:row>
    <x:row r="21" ht="78" customHeight="1">
      <x:c r="A21" s="63" t="n">
        <x:v>17</x:v>
      </x:c>
      <x:c r="B21" s="63" t="str">
        <x:v>生产</x:v>
      </x:c>
      <x:c r="C21" s="63" t="str">
        <x:v>特种工艺</x:v>
      </x:c>
      <x:c r="D21" s="63" t="str">
        <x:v>特种车缝（花样机）加工单</x:v>
      </x:c>
      <x:c r="E21" s="63" t="str">
        <x:v>裁片</x:v>
      </x:c>
      <x:c r="F21" s="63" t="str">
        <x:v>裁片</x:v>
      </x:c>
      <x:c r="G21" s="63" t="str">
        <x:v>普通裁片无SKU</x:v>
      </x:c>
      <x:c r="H21" s="63" t="str">
        <x:v>生产单</x:v>
      </x:c>
      <x:c r="I21" s="63" t="str">
        <x:v>补料可触发</x:v>
      </x:c>
      <x:c r="J21" s="63" t="str">
        <x:v>待分配→待接料→加工中→待交出→已完成</x:v>
      </x:c>
      <x:c r="K21" s="63" t="str">
        <x:v>不保留</x:v>
      </x:c>
      <x:c r="L21" s="63" t="str">
        <x:v>产出对象/图片缺失</x:v>
      </x:c>
      <x:c r="M21" s="63" t="str">
        <x:v>special-craft-operations.ts:202-208</x:v>
      </x:c>
      <x:c r="N21" s="63" t="str">
        <x:v>待核查</x:v>
      </x:c>
      <x:c r="O21" s="63" t="str"/>
    </x:row>
    <x:row r="22" ht="78" customHeight="1">
      <x:c r="A22" s="63" t="n">
        <x:v>18</x:v>
      </x:c>
      <x:c r="B22" s="63" t="str">
        <x:v>生产</x:v>
      </x:c>
      <x:c r="C22" s="63" t="str">
        <x:v>特种工艺</x:v>
      </x:c>
      <x:c r="D22" s="63" t="str">
        <x:v>橡筋定长切割加工单</x:v>
      </x:c>
      <x:c r="E22" s="63" t="str">
        <x:v>运行时为裁片</x:v>
      </x:c>
      <x:c r="F22" s="63" t="str">
        <x:v>运行时为裁片</x:v>
      </x:c>
      <x:c r="G22" s="63" t="str">
        <x:v>应为辅料</x:v>
      </x:c>
      <x:c r="H22" s="63" t="str">
        <x:v>生产单</x:v>
      </x:c>
      <x:c r="I22" s="63" t="str">
        <x:v>采购/库存供料可能存在</x:v>
      </x:c>
      <x:c r="J22" s="63" t="str">
        <x:v>待分配→待接料→加工中→待交出→已完成</x:v>
      </x:c>
      <x:c r="K22" s="63" t="str">
        <x:v>不保留</x:v>
      </x:c>
      <x:c r="L22" s="63" t="str">
        <x:v>主数据为辅料但运行时解析为裁片</x:v>
      </x:c>
      <x:c r="M22" s="63" t="str">
        <x:v>process-craft-dict.ts:540-554,594-599</x:v>
      </x:c>
      <x:c r="N22" s="63" t="str">
        <x:v>待核查</x:v>
      </x:c>
      <x:c r="O22" s="63" t="str"/>
    </x:row>
    <x:row r="23" ht="78" customHeight="1">
      <x:c r="A23" s="64" t="n">
        <x:v>19</x:v>
      </x:c>
      <x:c r="B23" s="64" t="str">
        <x:v>后道</x:v>
      </x:c>
      <x:c r="C23" s="64" t="str">
        <x:v>实际工序</x:v>
      </x:c>
      <x:c r="D23" s="64" t="str">
        <x:v>实际工序单（开扣眼/装扣子/烫包）</x:v>
      </x:c>
      <x:c r="E23" s="64" t="str">
        <x:v>成衣</x:v>
      </x:c>
      <x:c r="F23" s="64" t="str">
        <x:v>成衣</x:v>
      </x:c>
      <x:c r="G23" s="64" t="str">
        <x:v>颜色+尺码SKU，不含潘通/花型</x:v>
      </x:c>
      <x:c r="H23" s="64" t="str">
        <x:v>生产单+车缝任务+质检</x:v>
      </x:c>
      <x:c r="I23" s="64" t="str">
        <x:v>返补成衣重入边界待确认</x:v>
      </x:c>
      <x:c r="J23" s="64" t="str">
        <x:v>待分配→待接料→加工中→待交出→已完成</x:v>
      </x:c>
      <x:c r="K23" s="64" t="str">
        <x:v>不保留</x:v>
      </x:c>
      <x:c r="L23" s="64" t="str">
        <x:v>质检/复检混入加工主状态</x:v>
      </x:c>
      <x:c r="M23" s="64" t="str">
        <x:v>post-finishing-domain.ts:7-16,705-763</x:v>
      </x:c>
      <x:c r="N23" s="64" t="str">
        <x:v>待核查</x:v>
      </x:c>
      <x:c r="O23" s="64" t="str"/>
    </x:row>
  </x:sheetData>
  <x:mergeCells>
    <x:mergeCell ref="A1:O1"/>
    <x:mergeCell ref="A2:O2"/>
  </x:mergeCells>
  <x:conditionalFormatting sqref="N5:N23">
    <x:cfRule type="containsText" dxfId="3" priority="1" operator="containsText" text="认可"/>
    <x:cfRule type="containsText" dxfId="4" priority="2" operator="containsText" text="需修改"/>
    <x:cfRule type="containsText" dxfId="5" priority="3" operator="containsText" text="待核查"/>
  </x:conditionalFormatting>
  <x:dataValidations count="1">
    <x:dataValidation type="list" sqref="N5:N23">
      <x:formula1>"待核查,认可,需修改,不适用"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c8a0a79aa54b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28" hidden="0" customWidth="1"/>
    <x:col min="4" max="4" width="26" hidden="0" customWidth="1"/>
    <x:col min="5" max="5" width="27" hidden="0" customWidth="1"/>
    <x:col min="6" max="6" width="18" hidden="0" customWidth="1"/>
    <x:col min="7" max="7" width="20" hidden="0" customWidth="1"/>
    <x:col min="8" max="8" width="17" hidden="0" customWidth="1"/>
    <x:col min="9" max="9" width="34" hidden="0" customWidth="1"/>
    <x:col min="10" max="10" width="17" hidden="0" customWidth="1"/>
    <x:col min="11" max="11" width="34" hidden="0" customWidth="1"/>
    <x:col min="12" max="12" width="25" hidden="0" customWidth="1"/>
    <x:col min="13" max="13" width="38" hidden="0" customWidth="1"/>
    <x:col min="14" max="14" width="14" hidden="0" customWidth="1"/>
    <x:col min="15" max="15" width="25" hidden="0" customWidth="1"/>
  </x:cols>
  <x:sheetData>
    <x:row r="1" ht="34" customHeight="1">
      <x:c r="A1" s="4" t="str">
        <x:v>需求来源与场景核查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4" customHeight="1">
      <x:c r="A2" s="8" t="str">
        <x:v>区分需求场景、直接来源单据和加工投入供应来源。采购成品与采购坯料后委外加工必须分别核查。 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 ht="42" customHeight="1">
      <x:c r="A4" s="51" t="str">
        <x:v>场景编号</x:v>
      </x:c>
      <x:c r="B4" s="51" t="str">
        <x:v>需求场景</x:v>
      </x:c>
      <x:c r="C4" s="51" t="str">
        <x:v>直接来源单据</x:v>
      </x:c>
      <x:c r="D4" s="51" t="str">
        <x:v>投入供应来源</x:v>
      </x:c>
      <x:c r="E4" s="51" t="str">
        <x:v>想要的结果</x:v>
      </x:c>
      <x:c r="F4" s="51" t="str">
        <x:v>是否创建加工单</x:v>
      </x:c>
      <x:c r="G4" s="51" t="str">
        <x:v>加工单类型</x:v>
      </x:c>
      <x:c r="H4" s="51" t="str">
        <x:v>投入对象类型</x:v>
      </x:c>
      <x:c r="I4" s="51" t="str">
        <x:v>投入对象标识</x:v>
      </x:c>
      <x:c r="J4" s="51" t="str">
        <x:v>产出对象类型</x:v>
      </x:c>
      <x:c r="K4" s="51" t="str">
        <x:v>产出对象标识</x:v>
      </x:c>
      <x:c r="L4" s="51" t="str">
        <x:v>一级状态</x:v>
      </x:c>
      <x:c r="M4" s="51" t="str">
        <x:v>业务规则</x:v>
      </x:c>
      <x:c r="N4" s="51" t="str">
        <x:v>确认状态</x:v>
      </x:c>
      <x:c r="O4" s="51" t="str">
        <x:v>核查备注</x:v>
      </x:c>
    </x:row>
    <x:row r="5" ht="86" customHeight="1">
      <x:c r="A5" s="62" t="str">
        <x:v>SCN-01</x:v>
      </x:c>
      <x:c r="B5" s="62" t="str">
        <x:v>生产</x:v>
      </x:c>
      <x:c r="C5" s="62" t="str">
        <x:v>生产单+技术包</x:v>
      </x:c>
      <x:c r="D5" s="62" t="str">
        <x:v>裁床上游交出</x:v>
      </x:c>
      <x:c r="E5" s="62" t="str">
        <x:v>生产所需绣花裁片</x:v>
      </x:c>
      <x:c r="F5" s="62" t="str">
        <x:v>是</x:v>
      </x:c>
      <x:c r="G5" s="62" t="str">
        <x:v>绣花加工单</x:v>
      </x:c>
      <x:c r="H5" s="62" t="str">
        <x:v>裁片</x:v>
      </x:c>
      <x:c r="I5" s="62" t="str">
        <x:v>生产单+部位+颜色+尺码+菲票</x:v>
      </x:c>
      <x:c r="J5" s="62" t="str">
        <x:v>裁片</x:v>
      </x:c>
      <x:c r="K5" s="62" t="str">
        <x:v>同一裁片标识+已绣花加工事实</x:v>
      </x:c>
      <x:c r="L5" s="62" t="str">
        <x:v>待分配→待接料→加工中→待交出→已完成</x:v>
      </x:c>
      <x:c r="M5" s="62" t="str">
        <x:v>普通裁片没有SKU</x:v>
      </x:c>
      <x:c r="N5" s="62" t="str">
        <x:v>已确认</x:v>
      </x:c>
      <x:c r="O5" s="62" t="str"/>
    </x:row>
    <x:row r="6" ht="86" customHeight="1">
      <x:c r="A6" s="63" t="str">
        <x:v>SCN-02</x:v>
      </x:c>
      <x:c r="B6" s="63" t="str">
        <x:v>补料</x:v>
      </x:c>
      <x:c r="C6" s="63" t="str">
        <x:v>补料单+原生产单/裁片单</x:v>
      </x:c>
      <x:c r="D6" s="63" t="str">
        <x:v>新补出的裁片</x:v>
      </x:c>
      <x:c r="E6" s="63" t="str">
        <x:v>替换损坏/缺失的绣花裁片</x:v>
      </x:c>
      <x:c r="F6" s="63" t="str">
        <x:v>是</x:v>
      </x:c>
      <x:c r="G6" s="63" t="str">
        <x:v>绣花加工单</x:v>
      </x:c>
      <x:c r="H6" s="63" t="str">
        <x:v>裁片</x:v>
      </x:c>
      <x:c r="I6" s="63" t="str">
        <x:v>补料单+部位+颜色+尺码+新菲票</x:v>
      </x:c>
      <x:c r="J6" s="63" t="str">
        <x:v>裁片</x:v>
      </x:c>
      <x:c r="K6" s="63" t="str">
        <x:v>补料裁片标识+已绣花加工事实</x:v>
      </x:c>
      <x:c r="L6" s="63" t="str">
        <x:v>待分配→待接料→加工中→待交出→已完成</x:v>
      </x:c>
      <x:c r="M6" s="63" t="str">
        <x:v>补料完成裁剪后仍需补做绣花，才能回原生产链路</x:v>
      </x:c>
      <x:c r="N6" s="63" t="str">
        <x:v>已确认</x:v>
      </x:c>
      <x:c r="O6" s="63" t="str"/>
    </x:row>
    <x:row r="7" ht="86" customHeight="1">
      <x:c r="A7" s="63" t="str">
        <x:v>SCN-03</x:v>
      </x:c>
      <x:c r="B7" s="63" t="str">
        <x:v>生产或备货</x:v>
      </x:c>
      <x:c r="C7" s="63" t="str">
        <x:v>生产单或备货需求</x:v>
      </x:c>
      <x:c r="D7" s="63" t="str">
        <x:v>库存普通面料/采购到货</x:v>
      </x:c>
      <x:c r="E7" s="63" t="str">
        <x:v>绣花面料</x:v>
      </x:c>
      <x:c r="F7" s="63" t="str">
        <x:v>是</x:v>
      </x:c>
      <x:c r="G7" s="63" t="str">
        <x:v>绣花加工单</x:v>
      </x:c>
      <x:c r="H7" s="63" t="str">
        <x:v>面料</x:v>
      </x:c>
      <x:c r="I7" s="63" t="str">
        <x:v>未绣花面料SKU+批次</x:v>
      </x:c>
      <x:c r="J7" s="63" t="str">
        <x:v>面料</x:v>
      </x:c>
      <x:c r="K7" s="63" t="str">
        <x:v>绣花面料SKU或同SKU+已绣花状态</x:v>
      </x:c>
      <x:c r="L7" s="63" t="str">
        <x:v>待分配→待接料→加工中→待交出→已完成</x:v>
      </x:c>
      <x:c r="M7" s="63" t="str">
        <x:v>是否换SKU取决于物料身份规则</x:v>
      </x:c>
      <x:c r="N7" s="63" t="str">
        <x:v>部分确认</x:v>
      </x:c>
      <x:c r="O7" s="63" t="str"/>
    </x:row>
    <x:row r="8" ht="86" customHeight="1">
      <x:c r="A8" s="63" t="str">
        <x:v>SCN-04</x:v>
      </x:c>
      <x:c r="B8" s="63" t="str">
        <x:v>补料</x:v>
      </x:c>
      <x:c r="C8" s="63" t="str">
        <x:v>补料单</x:v>
      </x:c>
      <x:c r="D8" s="63" t="str">
        <x:v>库存或采购补充面料</x:v>
      </x:c>
      <x:c r="E8" s="63" t="str">
        <x:v>补充绣花面料</x:v>
      </x:c>
      <x:c r="F8" s="63" t="str">
        <x:v>视补料方案</x:v>
      </x:c>
      <x:c r="G8" s="63" t="str">
        <x:v>绣花加工单</x:v>
      </x:c>
      <x:c r="H8" s="63" t="str">
        <x:v>面料</x:v>
      </x:c>
      <x:c r="I8" s="63" t="str">
        <x:v>未绣花面料SKU+批次</x:v>
      </x:c>
      <x:c r="J8" s="63" t="str">
        <x:v>面料</x:v>
      </x:c>
      <x:c r="K8" s="63" t="str">
        <x:v>绣花面料SKU或加工状态</x:v>
      </x:c>
      <x:c r="L8" s="63" t="str">
        <x:v>待分配→待接料→加工中→待交出→已完成</x:v>
      </x:c>
      <x:c r="M8" s="63" t="str">
        <x:v>补的是成品绣花面料则不加工；补的是普通面料则需要加工</x:v>
      </x:c>
      <x:c r="N8" s="63" t="str">
        <x:v>部分确认</x:v>
      </x:c>
      <x:c r="O8" s="63" t="str"/>
    </x:row>
    <x:row r="9" ht="86" customHeight="1">
      <x:c r="A9" s="63" t="str">
        <x:v>SCN-05</x:v>
      </x:c>
      <x:c r="B9" s="63" t="str">
        <x:v>采购</x:v>
      </x:c>
      <x:c r="C9" s="63" t="str">
        <x:v>物料采购单</x:v>
      </x:c>
      <x:c r="D9" s="63" t="str">
        <x:v>供应商直接交付</x:v>
      </x:c>
      <x:c r="E9" s="63" t="str">
        <x:v>成品绣花面料</x:v>
      </x:c>
      <x:c r="F9" s="63" t="str">
        <x:v>通常否</x:v>
      </x:c>
      <x:c r="G9" s="63" t="str">
        <x:v>不创建或仅跟踪采购履约</x:v>
      </x:c>
      <x:c r="H9" s="63" t="str">
        <x:v>面料</x:v>
      </x:c>
      <x:c r="I9" s="63" t="str">
        <x:v>采购标的就是绣花面料SKU</x:v>
      </x:c>
      <x:c r="J9" s="63" t="str">
        <x:v>面料</x:v>
      </x:c>
      <x:c r="K9" s="63" t="str">
        <x:v>入库后的同一绣花面料SKU</x:v>
      </x:c>
      <x:c r="L9" s="63" t="str">
        <x:v>不适用</x:v>
      </x:c>
      <x:c r="M9" s="63" t="str">
        <x:v>供应商内部如何加工不属于我方加工单管理范围</x:v>
      </x:c>
      <x:c r="N9" s="63" t="str">
        <x:v>已确认</x:v>
      </x:c>
      <x:c r="O9" s="63" t="str"/>
    </x:row>
    <x:row r="10" ht="86" customHeight="1">
      <x:c r="A10" s="63" t="str">
        <x:v>SCN-06</x:v>
      </x:c>
      <x:c r="B10" s="63" t="str">
        <x:v>采购+委外加工</x:v>
      </x:c>
      <x:c r="C10" s="63" t="str">
        <x:v>普通面料采购单+委外加工需求</x:v>
      </x:c>
      <x:c r="D10" s="63" t="str">
        <x:v>采购到货的普通面料</x:v>
      </x:c>
      <x:c r="E10" s="63" t="str">
        <x:v>绣花面料</x:v>
      </x:c>
      <x:c r="F10" s="63" t="str">
        <x:v>是</x:v>
      </x:c>
      <x:c r="G10" s="63" t="str">
        <x:v>绣花加工单</x:v>
      </x:c>
      <x:c r="H10" s="63" t="str">
        <x:v>面料</x:v>
      </x:c>
      <x:c r="I10" s="63" t="str">
        <x:v>普通面料SKU+采购批次</x:v>
      </x:c>
      <x:c r="J10" s="63" t="str">
        <x:v>面料</x:v>
      </x:c>
      <x:c r="K10" s="63" t="str">
        <x:v>绣花面料SKU或加工状态</x:v>
      </x:c>
      <x:c r="L10" s="63" t="str">
        <x:v>待分配→待接料→加工中→待交出→已完成</x:v>
      </x:c>
      <x:c r="M10" s="63" t="str">
        <x:v>采购单是供料来源；绣花加工单负责物料转换</x:v>
      </x:c>
      <x:c r="N10" s="63" t="str">
        <x:v>已确认</x:v>
      </x:c>
      <x:c r="O10" s="63" t="str"/>
    </x:row>
    <x:row r="11" ht="86" customHeight="1">
      <x:c r="A11" s="63" t="str">
        <x:v>SCN-07</x:v>
      </x:c>
      <x:c r="B11" s="63" t="str">
        <x:v>生产</x:v>
      </x:c>
      <x:c r="C11" s="63" t="str">
        <x:v>生产单需要黑色面料</x:v>
      </x:c>
      <x:c r="D11" s="63" t="str">
        <x:v>白色坯布采购单/库存</x:v>
      </x:c>
      <x:c r="E11" s="63" t="str">
        <x:v>黑色面料</x:v>
      </x:c>
      <x:c r="F11" s="63" t="str">
        <x:v>是</x:v>
      </x:c>
      <x:c r="G11" s="63" t="str">
        <x:v>染色加工单</x:v>
      </x:c>
      <x:c r="H11" s="63" t="str">
        <x:v>面料</x:v>
      </x:c>
      <x:c r="I11" s="63" t="str">
        <x:v>白色坯布SKU+批次</x:v>
      </x:c>
      <x:c r="J11" s="63" t="str">
        <x:v>面料</x:v>
      </x:c>
      <x:c r="K11" s="63" t="str">
        <x:v>黑色面料SKU；当前代码仅有目标颜色</x:v>
      </x:c>
      <x:c r="L11" s="63" t="str">
        <x:v>待分配→待接料→加工中→待交出→已完成</x:v>
      </x:c>
      <x:c r="M11" s="63" t="str">
        <x:v>采购提供投入，生产需求触发转换；加工单需正式记录输出身份</x:v>
      </x:c>
      <x:c r="N11" s="63" t="str">
        <x:v>已确认</x:v>
      </x:c>
      <x:c r="O11" s="63" t="str"/>
    </x:row>
    <x:row r="12" ht="86" customHeight="1">
      <x:c r="A12" s="63" t="str">
        <x:v>SCN-08</x:v>
      </x:c>
      <x:c r="B12" s="63" t="str">
        <x:v>生产/备货/补料</x:v>
      </x:c>
      <x:c r="C12" s="63" t="str">
        <x:v>相应需求单据+BOM</x:v>
      </x:c>
      <x:c r="D12" s="63" t="str">
        <x:v>面料库存/采购/上游</x:v>
      </x:c>
      <x:c r="E12" s="63" t="str">
        <x:v>同时完成水溶和染色的面料</x:v>
      </x:c>
      <x:c r="F12" s="63" t="str">
        <x:v>是</x:v>
      </x:c>
      <x:c r="G12" s="63" t="str">
        <x:v>一张染色加工单</x:v>
      </x:c>
      <x:c r="H12" s="63" t="str">
        <x:v>面料</x:v>
      </x:c>
      <x:c r="I12" s="63" t="str">
        <x:v>加工前面料SKU+批次</x:v>
      </x:c>
      <x:c r="J12" s="63" t="str">
        <x:v>面料</x:v>
      </x:c>
      <x:c r="K12" s="63" t="str">
        <x:v>加工后面料SKU或状态</x:v>
      </x:c>
      <x:c r="L12" s="63" t="str">
        <x:v>待分配→待接料→加工中→待交出→已完成</x:v>
      </x:c>
      <x:c r="M12" s="63" t="str">
        <x:v>内部顺序水溶→染色，不拆成两张加工单</x:v>
      </x:c>
      <x:c r="N12" s="63" t="str">
        <x:v>已确认</x:v>
      </x:c>
      <x:c r="O12" s="63" t="str"/>
    </x:row>
    <x:row r="13" ht="86" customHeight="1">
      <x:c r="A13" s="63" t="str">
        <x:v>SCN-09</x:v>
      </x:c>
      <x:c r="B13" s="63" t="str">
        <x:v>生产</x:v>
      </x:c>
      <x:c r="C13" s="63" t="str">
        <x:v>生产单+BOM</x:v>
      </x:c>
      <x:c r="D13" s="63" t="str">
        <x:v>BOM物料</x:v>
      </x:c>
      <x:c r="E13" s="63" t="str">
        <x:v>仅水溶后的物料</x:v>
      </x:c>
      <x:c r="F13" s="63" t="str">
        <x:v>是</x:v>
      </x:c>
      <x:c r="G13" s="63" t="str">
        <x:v>独立水溶加工单</x:v>
      </x:c>
      <x:c r="H13" s="63" t="str">
        <x:v>BOM物料</x:v>
      </x:c>
      <x:c r="I13" s="63" t="str">
        <x:v>物料编码+规格</x:v>
      </x:c>
      <x:c r="J13" s="63" t="str">
        <x:v>BOM物料</x:v>
      </x:c>
      <x:c r="K13" s="63" t="str">
        <x:v>加工后身份待确认</x:v>
      </x:c>
      <x:c r="L13" s="63" t="str">
        <x:v>待分配→待接料→加工中→待交出→已完成</x:v>
      </x:c>
      <x:c r="M13" s="63" t="str">
        <x:v>独立水溶不保留细分主状态</x:v>
      </x:c>
      <x:c r="N13" s="63" t="str">
        <x:v>部分确认</x:v>
      </x:c>
      <x:c r="O13" s="63" t="str"/>
    </x:row>
    <x:row r="14" ht="86" customHeight="1">
      <x:c r="A14" s="64" t="str">
        <x:v>SCN-10</x:v>
      </x:c>
      <x:c r="B14" s="64" t="str">
        <x:v>补料</x:v>
      </x:c>
      <x:c r="C14" s="64" t="str">
        <x:v>补料单+原生产单</x:v>
      </x:c>
      <x:c r="D14" s="64" t="str">
        <x:v>补出的未印花裁片</x:v>
      </x:c>
      <x:c r="E14" s="64" t="str">
        <x:v>补齐印花裁片</x:v>
      </x:c>
      <x:c r="F14" s="64" t="str">
        <x:v>是</x:v>
      </x:c>
      <x:c r="G14" s="64" t="str">
        <x:v>印花加工单</x:v>
      </x:c>
      <x:c r="H14" s="64" t="str">
        <x:v>裁片</x:v>
      </x:c>
      <x:c r="I14" s="64" t="str">
        <x:v>补料单+部位+颜色+尺码+菲票</x:v>
      </x:c>
      <x:c r="J14" s="64" t="str">
        <x:v>裁片</x:v>
      </x:c>
      <x:c r="K14" s="64" t="str">
        <x:v>同一裁片标识+已印花加工事实</x:v>
      </x:c>
      <x:c r="L14" s="64" t="str">
        <x:v>待分配→待接料→加工中→待交出→已完成</x:v>
      </x:c>
      <x:c r="M14" s="64" t="str">
        <x:v>裁片不使用SKU；印花内部进度可以保留</x:v>
      </x:c>
      <x:c r="N14" s="64" t="str">
        <x:v>部分确认</x:v>
      </x:c>
      <x:c r="O14" s="64" t="str"/>
    </x:row>
  </x:sheetData>
  <x:mergeCells>
    <x:mergeCell ref="A1:O1"/>
    <x:mergeCell ref="A2:O2"/>
  </x:mergeCells>
  <x:conditionalFormatting sqref="N5:N14">
    <x:cfRule type="containsText" dxfId="6" priority="1" operator="containsText" text="已确认"/>
    <x:cfRule type="containsText" dxfId="7" priority="2" operator="containsText" text="部分确认"/>
    <x:cfRule type="containsText" dxfId="8" priority="3" operator="containsText" text="待确认"/>
  </x:conditionalFormatting>
  <x:dataValidations count="1">
    <x:dataValidation type="list" sqref="N5:N14">
      <x:formula1>"已确认,部分确认,待确认,不适用"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39de13d48a4e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33" hidden="0" customWidth="1"/>
    <x:col min="5" max="5" width="28" hidden="0" customWidth="1"/>
    <x:col min="6" max="6" width="20" hidden="0" customWidth="1"/>
    <x:col min="7" max="7" width="34" hidden="0" customWidth="1"/>
    <x:col min="8" max="8" width="32" hidden="0" customWidth="1"/>
  </x:cols>
  <x:sheetData>
    <x:row r="1" ht="34" customHeight="1">
      <x:c r="A1" s="4" t="str">
        <x:v>加工单状态模型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统一五个一级状态；印花、染色（含水溶步骤）可以在“加工中”之下保留必要内部工艺进度。 </x:v>
      </x:c>
      <x:c r="B2" s="8"/>
      <x:c r="C2" s="8"/>
      <x:c r="D2" s="8"/>
      <x:c r="E2" s="8"/>
      <x:c r="F2" s="8"/>
      <x:c r="G2" s="8"/>
      <x:c r="H2" s="8"/>
    </x:row>
    <x:row r="4" ht="42" customHeight="1">
      <x:c r="A4" s="51" t="str">
        <x:v>顺序</x:v>
      </x:c>
      <x:c r="B4" s="51" t="str">
        <x:v>一级状态</x:v>
      </x:c>
      <x:c r="C4" s="51" t="str">
        <x:v>业务定义</x:v>
      </x:c>
      <x:c r="D4" s="51" t="str">
        <x:v>进入事件</x:v>
      </x:c>
      <x:c r="E4" s="51" t="str">
        <x:v>必须记录的事实</x:v>
      </x:c>
      <x:c r="F4" s="51" t="str">
        <x:v>退出事件</x:v>
      </x:c>
      <x:c r="G4" s="51" t="str">
        <x:v>允许动作</x:v>
      </x:c>
      <x:c r="H4" s="51" t="str">
        <x:v>不应作为主状态的内容</x:v>
      </x:c>
    </x:row>
    <x:row r="5" ht="72" customHeight="1">
      <x:c r="A5" s="62" t="n">
        <x:v>1</x:v>
      </x:c>
      <x:c r="B5" s="62" t="str">
        <x:v>待分配</x:v>
      </x:c>
      <x:c r="C5" s="62" t="str">
        <x:v>加工单已建立，但未确定承接工厂/加工主体</x:v>
      </x:c>
      <x:c r="D5" s="62" t="str">
        <x:v>需求确认并生成加工单</x:v>
      </x:c>
      <x:c r="E5" s="62" t="str">
        <x:v>需求来源、投入对象、产出对象、计划数量</x:v>
      </x:c>
      <x:c r="F5" s="62" t="str">
        <x:v>完成加工主体分配</x:v>
      </x:c>
      <x:c r="G5" s="62" t="str">
        <x:v>分配、撤回分配、查看来源</x:v>
      </x:c>
      <x:c r="H5" s="62" t="str">
        <x:v>待花型、待色样、缺料、异常</x:v>
      </x:c>
    </x:row>
    <x:row r="6" ht="72" customHeight="1">
      <x:c r="A6" s="63" t="n">
        <x:v>2</x:v>
      </x:c>
      <x:c r="B6" s="63" t="str">
        <x:v>待接料</x:v>
      </x:c>
      <x:c r="C6" s="63" t="str">
        <x:v>已分配，但承接方尚未达到开工接料门槛</x:v>
      </x:c>
      <x:c r="D6" s="63" t="str">
        <x:v>加工主体接受任务</x:v>
      </x:c>
      <x:c r="E6" s="63" t="str">
        <x:v>计划投入、上游交出、实际接收数量/批次</x:v>
      </x:c>
      <x:c r="F6" s="63" t="str">
        <x:v>确认接料并满足开工门槛</x:v>
      </x:c>
      <x:c r="G6" s="63" t="str">
        <x:v>扫码接料、记录差异、叫主管处理</x:v>
      </x:c>
      <x:c r="H6" s="63" t="str">
        <x:v>部分接料、齐套不足、收货差异</x:v>
      </x:c>
    </x:row>
    <x:row r="7" ht="72" customHeight="1">
      <x:c r="A7" s="63" t="n">
        <x:v>3</x:v>
      </x:c>
      <x:c r="B7" s="63" t="str">
        <x:v>加工中</x:v>
      </x:c>
      <x:c r="C7" s="63" t="str">
        <x:v>已经接料并开始加工，尚未形成可交出结果</x:v>
      </x:c>
      <x:c r="D7" s="63" t="str">
        <x:v>开始加工</x:v>
      </x:c>
      <x:c r="E7" s="63" t="str">
        <x:v>实际投入、当前完成数量、必要凭证</x:v>
      </x:c>
      <x:c r="F7" s="63" t="str">
        <x:v>确认本单加工完成并形成实际产出</x:v>
      </x:c>
      <x:c r="G7" s="63" t="str">
        <x:v>填报进度、暂停/恢复、异常上报</x:v>
      </x:c>
      <x:c r="H7" s="63" t="str">
        <x:v>绣制中、剪线、压褶中等细步骤</x:v>
      </x:c>
    </x:row>
    <x:row r="8" ht="72" customHeight="1">
      <x:c r="A8" s="63" t="n">
        <x:v>4</x:v>
      </x:c>
      <x:c r="B8" s="63" t="str">
        <x:v>待交出</x:v>
      </x:c>
      <x:c r="C8" s="63" t="str">
        <x:v>实际产出已经形成，但尚未完成向下游交接</x:v>
      </x:c>
      <x:c r="D8" s="63" t="str">
        <x:v>完成加工并登记实际产出</x:v>
      </x:c>
      <x:c r="E8" s="63" t="str">
        <x:v>实际产出对象、数量、单位、图片、待交出仓记录</x:v>
      </x:c>
      <x:c r="F8" s="63" t="str">
        <x:v>交出并按闭环规则确认接收</x:v>
      </x:c>
      <x:c r="G8" s="63" t="str">
        <x:v>发起交出、装袋/打印、差异处理</x:v>
      </x:c>
      <x:c r="H8" s="63" t="str">
        <x:v>待入仓、已装袋、交出待收货</x:v>
      </x:c>
    </x:row>
    <x:row r="9" ht="72" customHeight="1">
      <x:c r="A9" s="64" t="n">
        <x:v>5</x:v>
      </x:c>
      <x:c r="B9" s="64" t="str">
        <x:v>已完成</x:v>
      </x:c>
      <x:c r="C9" s="64" t="str">
        <x:v>加工产出已经按规则交出/确认，单据闭环</x:v>
      </x:c>
      <x:c r="D9" s="64" t="str">
        <x:v>交出完成并满足关闭条件</x:v>
      </x:c>
      <x:c r="E9" s="64" t="str">
        <x:v>最终产出、交接对象、交接数量、确认人和时间</x:v>
      </x:c>
      <x:c r="F9" s="64" t="str">
        <x:v>无；必要时走独立返工/补料流程</x:v>
      </x:c>
      <x:c r="G9" s="64" t="str">
        <x:v>查看、追溯、打印</x:v>
      </x:c>
      <x:c r="H9" s="64" t="str">
        <x:v>质检、复检、结算</x:v>
      </x:c>
    </x:row>
    <x:row r="11">
      <x:c r="A11" s="10" t="str">
        <x:v>各加工单的状态策略</x:v>
      </x:c>
      <x:c r="B11" s="10"/>
      <x:c r="C11" s="10"/>
      <x:c r="D11" s="10"/>
      <x:c r="E11" s="10"/>
      <x:c r="F11" s="10"/>
      <x:c r="G11" s="10"/>
      <x:c r="H11" s="10"/>
    </x:row>
    <x:row r="12" ht="42" customHeight="1">
      <x:c r="A12" s="51" t="str">
        <x:v>加工单</x:v>
      </x:c>
      <x:c r="B12" s="51" t="str">
        <x:v>一级状态</x:v>
      </x:c>
      <x:c r="C12" s="51" t="str">
        <x:v>内部工艺进度</x:v>
      </x:c>
      <x:c r="D12" s="51" t="str">
        <x:v>内部进度示例</x:v>
      </x:c>
      <x:c r="E12" s="51" t="str">
        <x:v>齐套/差异处理</x:v>
      </x:c>
      <x:c r="F12" s="51" t="str">
        <x:v>质检/复检</x:v>
      </x:c>
      <x:c r="G12" s="51" t="str">
        <x:v>当前代码问题</x:v>
      </x:c>
      <x:c r="H12" s="51" t="str">
        <x:v>目标结论</x:v>
      </x:c>
    </x:row>
    <x:row r="13" ht="70" customHeight="1">
      <x:c r="A13" s="62" t="str">
        <x:v>印花</x:v>
      </x:c>
      <x:c r="B13" s="62" t="str">
        <x:v>待分配→待接料→加工中→待交出→已完成</x:v>
      </x:c>
      <x:c r="C13" s="62" t="str">
        <x:v>允许</x:v>
      </x:c>
      <x:c r="D13" s="62" t="str">
        <x:v>调色测试、打印/转印等必要进度</x:v>
      </x:c>
      <x:c r="E13" s="62" t="str">
        <x:v>作为条件/异常事实</x:v>
      </x:c>
      <x:c r="F13" s="62" t="str">
        <x:v>关联流程</x:v>
      </x:c>
      <x:c r="G13" s="62" t="str">
        <x:v>当前17个状态全部进入主状态</x:v>
      </x:c>
      <x:c r="H13" s="62" t="str">
        <x:v>列表只显示五态，详情显示内部进度</x:v>
      </x:c>
    </x:row>
    <x:row r="14" ht="70" customHeight="1">
      <x:c r="A14" s="63" t="str">
        <x:v>染色（含水溶）</x:v>
      </x:c>
      <x:c r="B14" s="63" t="str">
        <x:v>待分配→待接料→加工中→待交出→已完成</x:v>
      </x:c>
      <x:c r="C14" s="63" t="str">
        <x:v>允许</x:v>
      </x:c>
      <x:c r="D14" s="63" t="str">
        <x:v>水溶→染色及必要后处理</x:v>
      </x:c>
      <x:c r="E14" s="63" t="str">
        <x:v>作为条件/异常事实</x:v>
      </x:c>
      <x:c r="F14" s="63" t="str">
        <x:v>关联流程</x:v>
      </x:c>
      <x:c r="G14" s="63" t="str">
        <x:v>当前23个状态全部进入主状态</x:v>
      </x:c>
      <x:c r="H14" s="63" t="str">
        <x:v>列表只显示五态，详情显示内部进度</x:v>
      </x:c>
    </x:row>
    <x:row r="15" ht="70" customHeight="1">
      <x:c r="A15" s="63" t="str">
        <x:v>独立水溶</x:v>
      </x:c>
      <x:c r="B15" s="63" t="str">
        <x:v>待分配→待接料→加工中→待交出→已完成</x:v>
      </x:c>
      <x:c r="C15" s="63" t="str">
        <x:v>不允许</x:v>
      </x:c>
      <x:c r="D15" s="63" t="str">
        <x:v>无</x:v>
      </x:c>
      <x:c r="E15" s="63" t="str">
        <x:v>作为条件/异常事实</x:v>
      </x:c>
      <x:c r="F15" s="63" t="str">
        <x:v>关联流程</x:v>
      </x:c>
      <x:c r="G15" s="63" t="str">
        <x:v>当前9个状态过细</x:v>
      </x:c>
      <x:c r="H15" s="63" t="str">
        <x:v>使用五态</x:v>
      </x:c>
    </x:row>
    <x:row r="16" ht="70" customHeight="1">
      <x:c r="A16" s="63" t="str">
        <x:v>辅助工艺</x:v>
      </x:c>
      <x:c r="B16" s="63" t="str">
        <x:v>待分配→待接料→加工中→待交出→已完成</x:v>
      </x:c>
      <x:c r="C16" s="63" t="str">
        <x:v>不允许</x:v>
      </x:c>
      <x:c r="D16" s="63" t="str">
        <x:v>无</x:v>
      </x:c>
      <x:c r="E16" s="63" t="str">
        <x:v>作为条件/异常事实</x:v>
      </x:c>
      <x:c r="F16" s="63" t="str">
        <x:v>关联流程</x:v>
      </x:c>
      <x:c r="G16" s="63" t="str">
        <x:v>当前缺待交出主状态</x:v>
      </x:c>
      <x:c r="H16" s="63" t="str">
        <x:v>使用五态</x:v>
      </x:c>
    </x:row>
    <x:row r="17" ht="70" customHeight="1">
      <x:c r="A17" s="63" t="str">
        <x:v>特种工艺</x:v>
      </x:c>
      <x:c r="B17" s="63" t="str">
        <x:v>待分配→待接料→加工中→待交出→已完成</x:v>
      </x:c>
      <x:c r="C17" s="63" t="str">
        <x:v>不允许</x:v>
      </x:c>
      <x:c r="D17" s="63" t="str">
        <x:v>无</x:v>
      </x:c>
      <x:c r="E17" s="63" t="str">
        <x:v>作为条件/异常事实</x:v>
      </x:c>
      <x:c r="F17" s="63" t="str">
        <x:v>关联流程</x:v>
      </x:c>
      <x:c r="G17" s="63" t="str">
        <x:v>当前缺待交出主状态</x:v>
      </x:c>
      <x:c r="H17" s="63" t="str">
        <x:v>使用五态</x:v>
      </x:c>
    </x:row>
    <x:row r="18" ht="70" customHeight="1">
      <x:c r="A18" s="63" t="str">
        <x:v>毛织</x:v>
      </x:c>
      <x:c r="B18" s="63" t="str">
        <x:v>待分配→待接料→加工中→待交出→已完成</x:v>
      </x:c>
      <x:c r="C18" s="63" t="str">
        <x:v>不允许</x:v>
      </x:c>
      <x:c r="D18" s="63" t="str">
        <x:v>无</x:v>
      </x:c>
      <x:c r="E18" s="63" t="str">
        <x:v>纱线齐套是开工条件</x:v>
      </x:c>
      <x:c r="F18" s="63" t="str">
        <x:v>关联流程</x:v>
      </x:c>
      <x:c r="G18" s="63" t="str">
        <x:v>处理状态与齐套/交出分离但一级状态不全</x:v>
      </x:c>
      <x:c r="H18" s="63" t="str">
        <x:v>使用五态</x:v>
      </x:c>
    </x:row>
    <x:row r="19" ht="70" customHeight="1">
      <x:c r="A19" s="63" t="str">
        <x:v>捆条</x:v>
      </x:c>
      <x:c r="B19" s="63" t="str">
        <x:v>待分配→待接料→加工中→待交出→已完成</x:v>
      </x:c>
      <x:c r="C19" s="63" t="str">
        <x:v>不允许</x:v>
      </x:c>
      <x:c r="D19" s="63" t="str">
        <x:v>无</x:v>
      </x:c>
      <x:c r="E19" s="63" t="str">
        <x:v>接收、入仓和差异作为事实</x:v>
      </x:c>
      <x:c r="F19" s="63" t="str">
        <x:v>关联流程</x:v>
      </x:c>
      <x:c r="G19" s="63" t="str">
        <x:v>多套并行状态暴露给列表</x:v>
      </x:c>
      <x:c r="H19" s="63" t="str">
        <x:v>使用五态</x:v>
      </x:c>
    </x:row>
    <x:row r="20" ht="70" customHeight="1">
      <x:c r="A20" s="64" t="str">
        <x:v>实际工序</x:v>
      </x:c>
      <x:c r="B20" s="64" t="str">
        <x:v>待分配→待接料→加工中→待交出→已完成</x:v>
      </x:c>
      <x:c r="C20" s="64" t="str">
        <x:v>不允许</x:v>
      </x:c>
      <x:c r="D20" s="64" t="str">
        <x:v>无</x:v>
      </x:c>
      <x:c r="E20" s="64" t="str">
        <x:v>作为条件/异常事实</x:v>
      </x:c>
      <x:c r="F20" s="64" t="str">
        <x:v>质检/复检独立关联</x:v>
      </x:c>
      <x:c r="G20" s="64" t="str">
        <x:v>质检和复检混入九个主状态</x:v>
      </x:c>
      <x:c r="H20" s="64" t="str">
        <x:v>使用五态</x:v>
      </x:c>
    </x:row>
  </x:sheetData>
  <x:mergeCells>
    <x:mergeCell ref="A1:H1"/>
    <x:mergeCell ref="A2:H2"/>
    <x:mergeCell ref="A11:H11"/>
  </x:mergeCells>
  <x:conditionalFormatting sqref="C13:C20">
    <x:cfRule type="containsText" dxfId="9" priority="1" operator="containsText" text="允许"/>
    <x:cfRule type="containsText" dxfId="10" priority="2" operator="containsText" text="不允许"/>
  </x:conditionalFormatting>
  <x:pageMargins left="0.7" right="0.7" top="0.75" bottom="0.75" header="0.3" footer="0.3"/>
  <x:tableParts count="2">
    <x:tablePart xmlns:r="http://schemas.openxmlformats.org/officeDocument/2006/relationships" r:id="R90b79c64eba04c16"/>
    <x:tablePart xmlns:r="http://schemas.openxmlformats.org/officeDocument/2006/relationships" r:id="Rea406586c49740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34" hidden="0" customWidth="1"/>
    <x:col min="5" max="5" width="38" hidden="0" customWidth="1"/>
    <x:col min="6" max="6" width="31" hidden="0" customWidth="1"/>
    <x:col min="7" max="7" width="35" hidden="0" customWidth="1"/>
    <x:col min="8" max="8" width="11" hidden="0" customWidth="1"/>
    <x:col min="9" max="9" width="18" hidden="0" customWidth="1"/>
    <x:col min="10" max="10" width="14" hidden="0" customWidth="1"/>
    <x:col min="11" max="11" width="30" hidden="0" customWidth="1"/>
    <x:col min="12" max="12" width="38" hidden="0" customWidth="1"/>
  </x:cols>
  <x:sheetData>
    <x:row r="1" ht="34" customHeight="1">
      <x:c r="A1" s="4" t="str">
        <x:v>代码差异与待确认清单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8" t="str">
        <x:v>请优先核查高优先级项，并在“复核结论/复核备注”中填写意见。 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42" customHeight="1">
      <x:c r="A4" s="51" t="str">
        <x:v>问题编号</x:v>
      </x:c>
      <x:c r="B4" s="51" t="str">
        <x:v>类型</x:v>
      </x:c>
      <x:c r="C4" s="51" t="str">
        <x:v>涉及加工单</x:v>
      </x:c>
      <x:c r="D4" s="51" t="str">
        <x:v>当前代码</x:v>
      </x:c>
      <x:c r="E4" s="51" t="str">
        <x:v>已确认/候选业务规则</x:v>
      </x:c>
      <x:c r="F4" s="51" t="str">
        <x:v>业务影响</x:v>
      </x:c>
      <x:c r="G4" s="51" t="str">
        <x:v>建议处理</x:v>
      </x:c>
      <x:c r="H4" s="51" t="str">
        <x:v>优先级</x:v>
      </x:c>
      <x:c r="I4" s="51" t="str">
        <x:v>当前结论</x:v>
      </x:c>
      <x:c r="J4" s="51" t="str">
        <x:v>复核结论</x:v>
      </x:c>
      <x:c r="K4" s="51" t="str">
        <x:v>复核备注</x:v>
      </x:c>
      <x:c r="L4" s="51" t="str">
        <x:v>代码依据</x:v>
      </x:c>
    </x:row>
    <x:row r="5" ht="82" customHeight="1">
      <x:c r="A5" s="62" t="str">
        <x:v>GAP-001</x:v>
      </x:c>
      <x:c r="B5" s="62" t="str">
        <x:v>来源缺失</x:v>
      </x:c>
      <x:c r="C5" s="62" t="str">
        <x:v>绣花</x:v>
      </x:c>
      <x:c r="D5" s="62" t="str">
        <x:v>只能由生产单生成</x:v>
      </x:c>
      <x:c r="E5" s="62" t="str">
        <x:v>补料也会产生绣花加工单</x:v>
      </x:c>
      <x:c r="F5" s="62" t="str">
        <x:v>补料裁片只完成裁剪，无法补做原绣花工艺</x:v>
      </x:c>
      <x:c r="G5" s="62" t="str">
        <x:v>增加补料来源并关联原生产单/裁片单</x:v>
      </x:c>
      <x:c r="H5" s="62" t="str">
        <x:v>高</x:v>
      </x:c>
      <x:c r="I5" s="62" t="str">
        <x:v>已确认业务口径</x:v>
      </x:c>
      <x:c r="J5" s="62" t="str">
        <x:v>待核查</x:v>
      </x:c>
      <x:c r="K5" s="62" t="str"/>
      <x:c r="L5" s="62" t="str">
        <x:v>special-craft-task-orders.ts:53-54</x:v>
      </x:c>
    </x:row>
    <x:row r="6" ht="82" customHeight="1">
      <x:c r="A6" s="63" t="str">
        <x:v>GAP-002</x:v>
      </x:c>
      <x:c r="B6" s="63" t="str">
        <x:v>采购场景</x:v>
      </x:c>
      <x:c r="C6" s="63" t="str">
        <x:v>绣花/面料</x:v>
      </x:c>
      <x:c r="D6" s="63" t="str">
        <x:v>加工单来源没有采购</x:v>
      </x:c>
      <x:c r="E6" s="63" t="str">
        <x:v>采购成品绣花面料与采购坯料后委外绣花分开</x:v>
      </x:c>
      <x:c r="F6" s="63" t="str">
        <x:v>可能重复建加工单，或遗漏委外转换</x:v>
      </x:c>
      <x:c r="G6" s="63" t="str">
        <x:v>增加采购模式和投入供应来源维度</x:v>
      </x:c>
      <x:c r="H6" s="63" t="str">
        <x:v>高</x:v>
      </x:c>
      <x:c r="I6" s="63" t="str">
        <x:v>已确认业务口径</x:v>
      </x:c>
      <x:c r="J6" s="63" t="str">
        <x:v>待核查</x:v>
      </x:c>
      <x:c r="K6" s="63" t="str"/>
      <x:c r="L6" s="63" t="str">
        <x:v>process-work-order-domain.ts:42-50</x:v>
      </x:c>
    </x:row>
    <x:row r="7" ht="82" customHeight="1">
      <x:c r="A7" s="63" t="str">
        <x:v>GAP-003</x:v>
      </x:c>
      <x:c r="B7" s="63" t="str">
        <x:v>对象类型</x:v>
      </x:c>
      <x:c r="C7" s="63" t="str">
        <x:v>绣花</x:v>
      </x:c>
      <x:c r="D7" s="63" t="str">
        <x:v>运行时只支持已裁部位</x:v>
      </x:c>
      <x:c r="E7" s="63" t="str">
        <x:v>绣花可以加工裁片，也可以加工面料</x:v>
      </x:c>
      <x:c r="F7" s="63" t="str">
        <x:v>无法管理面料绣花</x:v>
      </x:c>
      <x:c r="G7" s="63" t="str">
        <x:v>按工艺配置支持对象类型，不锁死裁片</x:v>
      </x:c>
      <x:c r="H7" s="63" t="str">
        <x:v>高</x:v>
      </x:c>
      <x:c r="I7" s="63" t="str">
        <x:v>已确认业务口径</x:v>
      </x:c>
      <x:c r="J7" s="63" t="str">
        <x:v>待核查</x:v>
      </x:c>
      <x:c r="K7" s="63" t="str"/>
      <x:c r="L7" s="63" t="str">
        <x:v>special-craft-operations.ts:121-128</x:v>
      </x:c>
    </x:row>
    <x:row r="8" ht="82" customHeight="1">
      <x:c r="A8" s="63" t="str">
        <x:v>GAP-004</x:v>
      </x:c>
      <x:c r="B8" s="63" t="str">
        <x:v>来源建模</x:v>
      </x:c>
      <x:c r="C8" s="63" t="str">
        <x:v>全部</x:v>
      </x:c>
      <x:c r="D8" s="63" t="str">
        <x:v>生产/备货/补料与采购供料未分层</x:v>
      </x:c>
      <x:c r="E8" s="63" t="str">
        <x:v>需求场景、直接来源单据、投入供应来源分别记录</x:v>
      </x:c>
      <x:c r="F8" s="63" t="str">
        <x:v>来源含义混乱，无法解释白坯采购与染色需求关系</x:v>
      </x:c>
      <x:c r="G8" s="63" t="str">
        <x:v>建立三层来源字段</x:v>
      </x:c>
      <x:c r="H8" s="63" t="str">
        <x:v>高</x:v>
      </x:c>
      <x:c r="I8" s="63" t="str">
        <x:v>已确认业务口径</x:v>
      </x:c>
      <x:c r="J8" s="63" t="str">
        <x:v>待核查</x:v>
      </x:c>
      <x:c r="K8" s="63" t="str"/>
      <x:c r="L8" s="63" t="str">
        <x:v>process-work-order-domain.ts:44-66</x:v>
      </x:c>
    </x:row>
    <x:row r="9" ht="82" customHeight="1">
      <x:c r="A9" s="63" t="str">
        <x:v>GAP-005</x:v>
      </x:c>
      <x:c r="B9" s="63" t="str">
        <x:v>投入产出</x:v>
      </x:c>
      <x:c r="C9" s="63" t="str">
        <x:v>全部</x:v>
      </x:c>
      <x:c r="D9" s="63" t="str">
        <x:v>统一ProcessWorkOrder主要只有一组materialSku/objectType</x:v>
      </x:c>
      <x:c r="E9" s="63" t="str">
        <x:v>投入和产出分别绑定对象类型、对象标识、计划/实际数量和单位</x:v>
      </x:c>
      <x:c r="F9" s="63" t="str">
        <x:v>无法追溯转换链</x:v>
      </x:c>
      <x:c r="G9" s="63" t="str">
        <x:v>建立加工投入/加工产出结构</x:v>
      </x:c>
      <x:c r="H9" s="63" t="str">
        <x:v>高</x:v>
      </x:c>
      <x:c r="I9" s="63" t="str">
        <x:v>已确认业务口径</x:v>
      </x:c>
      <x:c r="J9" s="63" t="str">
        <x:v>待核查</x:v>
      </x:c>
      <x:c r="K9" s="63" t="str"/>
      <x:c r="L9" s="63" t="str">
        <x:v>process-work-order-domain.ts:124-213</x:v>
      </x:c>
    </x:row>
    <x:row r="10" ht="82" customHeight="1">
      <x:c r="A10" s="63" t="str">
        <x:v>GAP-006</x:v>
      </x:c>
      <x:c r="B10" s="63" t="str">
        <x:v>裁片识别</x:v>
      </x:c>
      <x:c r="C10" s="63" t="str">
        <x:v>印花/辅助/特种</x:v>
      </x:c>
      <x:c r="D10" s="63" t="str">
        <x:v>裁片需求行仍有skuCode/materialSku字段</x:v>
      </x:c>
      <x:c r="E10" s="63" t="str">
        <x:v>普通裁片没有SKU</x:v>
      </x:c>
      <x:c r="F10" s="63" t="str">
        <x:v>错误产生裁片SKU概念</x:v>
      </x:c>
      <x:c r="G10" s="63" t="str">
        <x:v>改用生产单+部位+颜色+尺码+菲票/袋组合标识</x:v>
      </x:c>
      <x:c r="H10" s="63" t="str">
        <x:v>高</x:v>
      </x:c>
      <x:c r="I10" s="63" t="str">
        <x:v>已确认业务口径</x:v>
      </x:c>
      <x:c r="J10" s="63" t="str">
        <x:v>待核查</x:v>
      </x:c>
      <x:c r="K10" s="63" t="str"/>
      <x:c r="L10" s="63" t="str">
        <x:v>printing-task-domain.ts:93-97；special-craft-task-orders.ts:61-94</x:v>
      </x:c>
    </x:row>
    <x:row r="11" ht="82" customHeight="1">
      <x:c r="A11" s="63" t="str">
        <x:v>GAP-007</x:v>
      </x:c>
      <x:c r="B11" s="63" t="str">
        <x:v>对象图片</x:v>
      </x:c>
      <x:c r="C11" s="63" t="str">
        <x:v>全部</x:v>
      </x:c>
      <x:c r="D11" s="63" t="str">
        <x:v>没有同时覆盖投入和产出对象图</x:v>
      </x:c>
      <x:c r="E11" s="63" t="str">
        <x:v>投入和产出均需缩略图并可查看大图</x:v>
      </x:c>
      <x:c r="F11" s="63" t="str">
        <x:v>列表无法确认实际加工对象</x:v>
      </x:c>
      <x:c r="G11" s="63" t="str">
        <x:v>两侧对象分别绑定真实图片；凭证图不能替代对象图</x:v>
      </x:c>
      <x:c r="H11" s="63" t="str">
        <x:v>高</x:v>
      </x:c>
      <x:c r="I11" s="63" t="str">
        <x:v>已确认业务口径</x:v>
      </x:c>
      <x:c r="J11" s="63" t="str">
        <x:v>待核查</x:v>
      </x:c>
      <x:c r="K11" s="63" t="str"/>
      <x:c r="L11" s="63" t="str">
        <x:v>各领域接口对照</x:v>
      </x:c>
    </x:row>
    <x:row r="12" ht="82" customHeight="1">
      <x:c r="A12" s="63" t="str">
        <x:v>GAP-008</x:v>
      </x:c>
      <x:c r="B12" s="63" t="str">
        <x:v>状态复杂度</x:v>
      </x:c>
      <x:c r="C12" s="63" t="str">
        <x:v>除印花/染色外</x:v>
      </x:c>
      <x:c r="D12" s="63" t="str">
        <x:v>水溶、后道、捆条等存在多套细状态</x:v>
      </x:c>
      <x:c r="E12" s="63" t="str">
        <x:v>统一五态；只有印花、染色含内部工艺进度</x:v>
      </x:c>
      <x:c r="F12" s="63" t="str">
        <x:v>现场无法维护，跨类型统计困难</x:v>
      </x:c>
      <x:c r="G12" s="63" t="str">
        <x:v>增加统一一级状态投影并收口列表文案</x:v>
      </x:c>
      <x:c r="H12" s="63" t="str">
        <x:v>高</x:v>
      </x:c>
      <x:c r="I12" s="63" t="str">
        <x:v>已确认业务口径</x:v>
      </x:c>
      <x:c r="J12" s="63" t="str">
        <x:v>待核查</x:v>
      </x:c>
      <x:c r="K12" s="63" t="str"/>
      <x:c r="L12" s="63" t="str">
        <x:v>各状态类型定义</x:v>
      </x:c>
    </x:row>
    <x:row r="13" ht="82" customHeight="1">
      <x:c r="A13" s="63" t="str">
        <x:v>GAP-009</x:v>
      </x:c>
      <x:c r="B13" s="63" t="str">
        <x:v>主数据冲突</x:v>
      </x:c>
      <x:c r="C13" s="63" t="str">
        <x:v>橡筋定长切割</x:v>
      </x:c>
      <x:c r="D13" s="63" t="str">
        <x:v>主数据为辅料，运行时解析为已裁部位</x:v>
      </x:c>
      <x:c r="E13" s="63" t="str">
        <x:v>橡筋定长切割对象为辅料</x:v>
      </x:c>
      <x:c r="F13" s="63" t="str">
        <x:v>接收、单位和仓库流向都会错误</x:v>
      </x:c>
      <x:c r="G13" s="63" t="str">
        <x:v>修正支持对象解析来源</x:v>
      </x:c>
      <x:c r="H13" s="63" t="str">
        <x:v>高</x:v>
      </x:c>
      <x:c r="I13" s="63" t="str">
        <x:v>代码事实待修正</x:v>
      </x:c>
      <x:c r="J13" s="63" t="str">
        <x:v>待核查</x:v>
      </x:c>
      <x:c r="K13" s="63" t="str"/>
      <x:c r="L13" s="63" t="str">
        <x:v>process-craft-dict.ts:540-554,594-599</x:v>
      </x:c>
    </x:row>
    <x:row r="14" ht="82" customHeight="1">
      <x:c r="A14" s="63" t="str">
        <x:v>GAP-010</x:v>
      </x:c>
      <x:c r="B14" s="63" t="str">
        <x:v>流程混杂</x:v>
      </x:c>
      <x:c r="C14" s="63" t="str">
        <x:v>实际工序</x:v>
      </x:c>
      <x:c r="D14" s="63" t="str">
        <x:v>质检、后道、复检进入一套九状态</x:v>
      </x:c>
      <x:c r="E14" s="63" t="str">
        <x:v>加工单只保留五态；质检/复检为关联流程</x:v>
      </x:c>
      <x:c r="F14" s="63" t="str">
        <x:v>加工状态难以理解</x:v>
      </x:c>
      <x:c r="G14" s="63" t="str">
        <x:v>拆分加工一级状态和质量流程状态</x:v>
      </x:c>
      <x:c r="H14" s="63" t="str">
        <x:v>中</x:v>
      </x:c>
      <x:c r="I14" s="63" t="str">
        <x:v>已确认业务口径</x:v>
      </x:c>
      <x:c r="J14" s="63" t="str">
        <x:v>待核查</x:v>
      </x:c>
      <x:c r="K14" s="63" t="str"/>
      <x:c r="L14" s="63" t="str">
        <x:v>post-finishing-domain.ts:7-16</x:v>
      </x:c>
    </x:row>
    <x:row r="15" ht="82" customHeight="1">
      <x:c r="A15" s="63" t="str">
        <x:v>GAP-011</x:v>
      </x:c>
      <x:c r="B15" s="63" t="str">
        <x:v>水溶边界</x:v>
      </x:c>
      <x:c r="C15" s="63" t="str">
        <x:v>水溶/染色</x:v>
      </x:c>
      <x:c r="D15" s="63" t="str">
        <x:v>独立水溶有九状态；含水溶染色并入染色</x:v>
      </x:c>
      <x:c r="E15" s="63" t="str">
        <x:v>含水溶染色允许内部水溶→染色；独立水溶使用五态</x:v>
      </x:c>
      <x:c r="F15" s="63" t="str">
        <x:v>可能重复或过度细分</x:v>
      </x:c>
      <x:c r="G15" s="63" t="str">
        <x:v>保留单据边界，统一一级状态</x:v>
      </x:c>
      <x:c r="H15" s="63" t="str">
        <x:v>中</x:v>
      </x:c>
      <x:c r="I15" s="63" t="str">
        <x:v>已确认业务口径</x:v>
      </x:c>
      <x:c r="J15" s="63" t="str">
        <x:v>待核查</x:v>
      </x:c>
      <x:c r="K15" s="63" t="str"/>
      <x:c r="L15" s="63" t="str">
        <x:v>production-artifact-generation.ts:687-705</x:v>
      </x:c>
    </x:row>
    <x:row r="16" ht="82" customHeight="1">
      <x:c r="A16" s="63" t="str">
        <x:v>GAP-012</x:v>
      </x:c>
      <x:c r="B16" s="63" t="str">
        <x:v>计划/实际</x:v>
      </x:c>
      <x:c r="C16" s="63" t="str">
        <x:v>全部</x:v>
      </x:c>
      <x:c r="D16" s="63" t="str">
        <x:v>计划和实际产出身份未统一定义</x:v>
      </x:c>
      <x:c r="E16" s="63" t="str">
        <x:v>候选规则：计划产出与实际产出对象原则上相同，通常只有数量不同；临时换料作用于投入</x:v>
      </x:c>
      <x:c r="F16" s="63" t="str">
        <x:v>可能允许未经审批改变产出身份</x:v>
      </x:c>
      <x:c r="G16" s="63" t="str">
        <x:v>确认是否只允许数量差异及例外审批</x:v>
      </x:c>
      <x:c r="H16" s="63" t="str">
        <x:v>中</x:v>
      </x:c>
      <x:c r="I16" s="63" t="str">
        <x:v>待业务确认</x:v>
      </x:c>
      <x:c r="J16" s="63" t="str">
        <x:v>待核查</x:v>
      </x:c>
      <x:c r="K16" s="63" t="str"/>
      <x:c r="L16" s="63" t="str">
        <x:v>待产品确认</x:v>
      </x:c>
    </x:row>
    <x:row r="17" ht="82" customHeight="1">
      <x:c r="A17" s="63" t="str">
        <x:v>GAP-013</x:v>
      </x:c>
      <x:c r="B17" s="63" t="str">
        <x:v>范围边界</x:v>
      </x:c>
      <x:c r="C17" s="63" t="str">
        <x:v>全部</x:v>
      </x:c>
      <x:c r="D17" s="63" t="str">
        <x:v>染色/捆条/辅助模型仍有lossQty/lossRate</x:v>
      </x:c>
      <x:c r="E17" s="63" t="str">
        <x:v>当前阶段暂不考虑损耗</x:v>
      </x:c>
      <x:c r="F17" s="63" t="str">
        <x:v>界面和规则范围膨胀</x:v>
      </x:c>
      <x:c r="G17" s="63" t="str">
        <x:v>统一模型暂不展示/计算损耗，保留代码兼容需另议</x:v>
      </x:c>
      <x:c r="H17" s="63" t="str">
        <x:v>中</x:v>
      </x:c>
      <x:c r="I17" s="63" t="str">
        <x:v>已确认业务口径</x:v>
      </x:c>
      <x:c r="J17" s="63" t="str">
        <x:v>待核查</x:v>
      </x:c>
      <x:c r="K17" s="63" t="str"/>
      <x:c r="L17" s="63" t="str">
        <x:v>dyeing-task-domain.ts:195-198；special-processes-model.ts:198-201</x:v>
      </x:c>
    </x:row>
    <x:row r="18" ht="82" customHeight="1">
      <x:c r="A18" s="64" t="str">
        <x:v>GAP-014</x:v>
      </x:c>
      <x:c r="B18" s="64" t="str">
        <x:v>加工身份</x:v>
      </x:c>
      <x:c r="C18" s="64" t="str">
        <x:v>全部</x:v>
      </x:c>
      <x:c r="D18" s="64" t="str">
        <x:v>缺少统一加工状态身份</x:v>
      </x:c>
      <x:c r="E18" s="64" t="str">
        <x:v>允许加工前后SKU相同、加工状态不同</x:v>
      </x:c>
      <x:c r="F18" s="64" t="str">
        <x:v>强制换SKU会产生无意义物料编码</x:v>
      </x:c>
      <x:c r="G18" s="64" t="str">
        <x:v>在对象身份外增加加工状态/工艺完成事实</x:v>
      </x:c>
      <x:c r="H18" s="64" t="str">
        <x:v>高</x:v>
      </x:c>
      <x:c r="I18" s="64" t="str">
        <x:v>已确认业务口径</x:v>
      </x:c>
      <x:c r="J18" s="64" t="str">
        <x:v>待核查</x:v>
      </x:c>
      <x:c r="K18" s="64" t="str"/>
      <x:c r="L18" s="64" t="str">
        <x:v>统一模型待设计</x:v>
      </x:c>
    </x:row>
  </x:sheetData>
  <x:mergeCells>
    <x:mergeCell ref="A1:L1"/>
    <x:mergeCell ref="A2:L2"/>
  </x:mergeCells>
  <x:conditionalFormatting sqref="H5:H18">
    <x:cfRule type="containsText" dxfId="11" priority="1" operator="containsText" text="高"/>
    <x:cfRule type="containsText" dxfId="12" priority="2" operator="containsText" text="中"/>
  </x:conditionalFormatting>
  <x:conditionalFormatting sqref="I5:I18">
    <x:cfRule type="containsText" dxfId="13" priority="3" operator="containsText" text="已确认业务口径"/>
    <x:cfRule type="containsText" dxfId="14" priority="4" operator="containsText" text="待业务确认"/>
    <x:cfRule type="containsText" dxfId="15" priority="5" operator="containsText" text="代码事实待修正"/>
  </x:conditionalFormatting>
  <x:conditionalFormatting sqref="J5:J18">
    <x:cfRule type="containsText" dxfId="16" priority="6" operator="containsText" text="认可"/>
    <x:cfRule type="containsText" dxfId="17" priority="7" operator="containsText" text="需修改"/>
    <x:cfRule type="containsText" dxfId="18" priority="8" operator="containsText" text="待核查"/>
  </x:conditionalFormatting>
  <x:dataValidations count="2">
    <x:dataValidation type="list" sqref="H5:H18">
      <x:formula1>"高,中,低"</x:formula1>
    </x:dataValidation>
    <x:dataValidation type="list" sqref="J5:J18">
      <x:formula1>"待核查,认可,需修改,不适用"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ea0da82f9e47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62" hidden="0" customWidth="1"/>
    <x:col min="4" max="4" width="34" hidden="0" customWidth="1"/>
    <x:col min="5" max="5" width="45" hidden="0" customWidth="1"/>
    <x:col min="6" max="6" width="18" hidden="0" customWidth="1"/>
    <x:col min="7" max="7" width="34" hidden="0" customWidth="1"/>
  </x:cols>
  <x:sheetData>
    <x:row r="1" ht="34" customHeight="1">
      <x:c r="A1" s="4" t="str">
        <x:v>当前代码依据</x:v>
      </x:c>
      <x:c r="B1" s="4"/>
      <x:c r="C1" s="4"/>
      <x:c r="D1" s="4"/>
      <x:c r="E1" s="4"/>
      <x:c r="F1" s="4"/>
      <x:c r="G1" s="4"/>
    </x:row>
    <x:row r="2" ht="34" customHeight="1">
      <x:c r="A2" s="8" t="str">
        <x:v>所有路径均为本次核查时的当前工作区绝对路径；行号用于快速定位，后续代码变化可能导致行号漂移。 </x:v>
      </x:c>
      <x:c r="B2" s="8"/>
      <x:c r="C2" s="8"/>
      <x:c r="D2" s="8"/>
      <x:c r="E2" s="8"/>
      <x:c r="F2" s="8"/>
      <x:c r="G2" s="8"/>
    </x:row>
    <x:row r="4" ht="42" customHeight="1">
      <x:c r="A4" s="51" t="str">
        <x:v>证据编号</x:v>
      </x:c>
      <x:c r="B4" s="51" t="str">
        <x:v>领域</x:v>
      </x:c>
      <x:c r="C4" s="51" t="str">
        <x:v>文件路径</x:v>
      </x:c>
      <x:c r="D4" s="51" t="str">
        <x:v>行号/符号</x:v>
      </x:c>
      <x:c r="E4" s="51" t="str">
        <x:v>确认内容</x:v>
      </x:c>
      <x:c r="F4" s="51" t="str">
        <x:v>事实类型</x:v>
      </x:c>
      <x:c r="G4" s="51" t="str">
        <x:v>备注</x:v>
      </x:c>
    </x:row>
    <x:row r="5" ht="64" customHeight="1">
      <x:c r="A5" s="62" t="str">
        <x:v>EVD-001</x:v>
      </x:c>
      <x:c r="B5" s="62" t="str">
        <x:v>菜单</x:v>
      </x:c>
      <x:c r="C5" s="62" t="str">
        <x:v>/Users/laoer/Documents/higoods/src/data/app-shell-config.ts</x:v>
      </x:c>
      <x:c r="D5" s="62" t="str">
        <x:v>52-70,292-296,452,493,511-513,530,550</x:v>
      </x:c>
      <x:c r="E5" s="62" t="str">
        <x:v>当前加工单入口及辅助/特种工艺动态菜单</x:v>
      </x:c>
      <x:c r="F5" s="62" t="str">
        <x:v>当前代码事实</x:v>
      </x:c>
      <x:c r="G5" s="62" t="str">
        <x:v>印花/染色/水溶在FCS和PFOS有不同入口，但不是不同单据类型</x:v>
      </x:c>
    </x:row>
    <x:row r="6" ht="64" customHeight="1">
      <x:c r="A6" s="63" t="str">
        <x:v>EVD-002</x:v>
      </x:c>
      <x:c r="B6" s="63" t="str">
        <x:v>阶段</x:v>
      </x:c>
      <x:c r="C6" s="63" t="str">
        <x:v>/Users/laoer/Documents/higoods/src/data/fcs/process-craft-dict.ts</x:v>
      </x:c>
      <x:c r="D6" s="63" t="str">
        <x:v>846-864</x:v>
      </x:c>
      <x:c r="E6" s="63" t="str">
        <x:v>准备、生产、后道三个阶段定义</x:v>
      </x:c>
      <x:c r="F6" s="63" t="str">
        <x:v>当前代码事实</x:v>
      </x:c>
      <x:c r="G6" s="63" t="str">
        <x:v>捆条位于裁床裁后处理模块</x:v>
      </x:c>
    </x:row>
    <x:row r="7" ht="64" customHeight="1">
      <x:c r="A7" s="63" t="str">
        <x:v>EVD-003</x:v>
      </x:c>
      <x:c r="B7" s="63" t="str">
        <x:v>来源</x:v>
      </x:c>
      <x:c r="C7" s="63" t="str">
        <x:v>/Users/laoer/Documents/higoods/src/data/fcs/process-work-order-domain.ts</x:v>
      </x:c>
      <x:c r="D7" s="63" t="str">
        <x:v>42-66</x:v>
      </x:c>
      <x:c r="E7" s="63" t="str">
        <x:v>准备加工单来源只有生产、备货、裁片补料</x:v>
      </x:c>
      <x:c r="F7" s="63" t="str">
        <x:v>当前代码事实</x:v>
      </x:c>
      <x:c r="G7" s="63" t="str">
        <x:v>采购尚未建模</x:v>
      </x:c>
    </x:row>
    <x:row r="8" ht="64" customHeight="1">
      <x:c r="A8" s="63" t="str">
        <x:v>EVD-004</x:v>
      </x:c>
      <x:c r="B8" s="63" t="str">
        <x:v>统一加工单</x:v>
      </x:c>
      <x:c r="C8" s="63" t="str">
        <x:v>/Users/laoer/Documents/higoods/src/data/fcs/process-work-order-domain.ts</x:v>
      </x:c>
      <x:c r="D8" s="63" t="str">
        <x:v>124-213</x:v>
      </x:c>
      <x:c r="E8" s="63" t="str">
        <x:v>主要只有一组objectType/materialSku及计划数量</x:v>
      </x:c>
      <x:c r="F8" s="63" t="str">
        <x:v>当前代码事实</x:v>
      </x:c>
      <x:c r="G8" s="63" t="str">
        <x:v>没有正式投入/产出对象对</x:v>
      </x:c>
    </x:row>
    <x:row r="9" ht="64" customHeight="1">
      <x:c r="A9" s="63" t="str">
        <x:v>EVD-005</x:v>
      </x:c>
      <x:c r="B9" s="63" t="str">
        <x:v>染色</x:v>
      </x:c>
      <x:c r="C9" s="63" t="str">
        <x:v>/Users/laoer/Documents/higoods/src/data/fcs/dyeing-task-domain.ts</x:v>
      </x:c>
      <x:c r="D9" s="63" t="str">
        <x:v>58-81,100-201</x:v>
      </x:c>
      <x:c r="E9" s="63" t="str">
        <x:v>染色状态、rawMaterialSku、目标颜色和执行投入/产出数量</x:v>
      </x:c>
      <x:c r="F9" s="63" t="str">
        <x:v>当前代码事实</x:v>
      </x:c>
      <x:c r="G9" s="63" t="str">
        <x:v>没有加工后SKU</x:v>
      </x:c>
    </x:row>
    <x:row r="10" ht="64" customHeight="1">
      <x:c r="A10" s="63" t="str">
        <x:v>EVD-006</x:v>
      </x:c>
      <x:c r="B10" s="63" t="str">
        <x:v>印花</x:v>
      </x:c>
      <x:c r="C10" s="63" t="str">
        <x:v>/Users/laoer/Documents/higoods/src/data/fcs/printing-task-domain.ts</x:v>
      </x:c>
      <x:c r="D10" s="63" t="str">
        <x:v>53-70,76-157</x:v>
      </x:c>
      <x:c r="E10" s="63" t="str">
        <x:v>印花状态、面料/裁片对象和执行投入/产出数量</x:v>
      </x:c>
      <x:c r="F10" s="63" t="str">
        <x:v>当前代码事实</x:v>
      </x:c>
      <x:c r="G10" s="63" t="str">
        <x:v>裁片仍沿用materialSku</x:v>
      </x:c>
    </x:row>
    <x:row r="11" ht="64" customHeight="1">
      <x:c r="A11" s="63" t="str">
        <x:v>EVD-007</x:v>
      </x:c>
      <x:c r="B11" s="63" t="str">
        <x:v>水溶</x:v>
      </x:c>
      <x:c r="C11" s="63" t="str">
        <x:v>/Users/laoer/Documents/higoods/src/data/fcs/water-soluble-task-domain.ts</x:v>
      </x:c>
      <x:c r="D11" s="63" t="str">
        <x:v>14-83</x:v>
      </x:c>
      <x:c r="E11" s="63" t="str">
        <x:v>独立水溶九状态及物料/数量字段</x:v>
      </x:c>
      <x:c r="F11" s="63" t="str">
        <x:v>当前代码事实</x:v>
      </x:c>
      <x:c r="G11" s="63" t="str">
        <x:v>没有独立产出身份</x:v>
      </x:c>
    </x:row>
    <x:row r="12" ht="64" customHeight="1">
      <x:c r="A12" s="63" t="str">
        <x:v>EVD-008</x:v>
      </x:c>
      <x:c r="B12" s="63" t="str">
        <x:v>水溶生成</x:v>
      </x:c>
      <x:c r="C12" s="63" t="str">
        <x:v>/Users/laoer/Documents/higoods/src/data/fcs/production-artifact-generation.ts</x:v>
      </x:c>
      <x:c r="D12" s="63" t="str">
        <x:v>687-705</x:v>
      </x:c>
      <x:c r="E12" s="63" t="str">
        <x:v>仅水溶独立生成；水溶+染色并入染色单</x:v>
      </x:c>
      <x:c r="F12" s="63" t="str">
        <x:v>当前代码事实</x:v>
      </x:c>
      <x:c r="G12" s="63" t="str"/>
    </x:row>
    <x:row r="13" ht="64" customHeight="1">
      <x:c r="A13" s="63" t="str">
        <x:v>EVD-009</x:v>
      </x:c>
      <x:c r="B13" s="63" t="str">
        <x:v>辅助/特种</x:v>
      </x:c>
      <x:c r="C13" s="63" t="str">
        <x:v>/Users/laoer/Documents/higoods/src/data/fcs/special-craft-task-orders.ts</x:v>
      </x:c>
      <x:c r="D13" s="63" t="str">
        <x:v>46-59,61-94,184-259</x:v>
      </x:c>
      <x:c r="E13" s="63" t="str">
        <x:v>当前只支持生产来源，记录计划/实收/完成/待交出数量</x:v>
      </x:c>
      <x:c r="F13" s="63" t="str">
        <x:v>当前代码事实</x:v>
      </x:c>
      <x:c r="G13" s="63" t="str">
        <x:v>没有正式产出对象</x:v>
      </x:c>
    </x:row>
    <x:row r="14" ht="64" customHeight="1">
      <x:c r="A14" s="63" t="str">
        <x:v>EVD-010</x:v>
      </x:c>
      <x:c r="B14" s="63" t="str">
        <x:v>工艺对象</x:v>
      </x:c>
      <x:c r="C14" s="63" t="str">
        <x:v>/Users/laoer/Documents/higoods/src/data/fcs/special-craft-operations.ts</x:v>
      </x:c>
      <x:c r="D14" s="63" t="str">
        <x:v>17-82,121-216</x:v>
      </x:c>
      <x:c r="E14" s="63" t="str">
        <x:v>辅助/特种工艺默认对象和仓库流向</x:v>
      </x:c>
      <x:c r="F14" s="63" t="str">
        <x:v>当前代码事实</x:v>
      </x:c>
      <x:c r="G14" s="63" t="str">
        <x:v>绣花当前默认裁片，烫画/直喷支持多对象</x:v>
      </x:c>
    </x:row>
    <x:row r="15" ht="64" customHeight="1">
      <x:c r="A15" s="63" t="str">
        <x:v>EVD-011</x:v>
      </x:c>
      <x:c r="B15" s="63" t="str">
        <x:v>橡筋</x:v>
      </x:c>
      <x:c r="C15" s="63" t="str">
        <x:v>/Users/laoer/Documents/higoods/src/data/fcs/process-craft-dict.ts</x:v>
      </x:c>
      <x:c r="D15" s="63" t="str">
        <x:v>540-554,594-599</x:v>
      </x:c>
      <x:c r="E15" s="63" t="str">
        <x:v>主数据定义辅料，但默认支持对象解析可能回落到裁片</x:v>
      </x:c>
      <x:c r="F15" s="63" t="str">
        <x:v>当前代码事实</x:v>
      </x:c>
      <x:c r="G15" s="63" t="str">
        <x:v>已通过运行时列表确认冲突</x:v>
      </x:c>
    </x:row>
    <x:row r="16" ht="64" customHeight="1">
      <x:c r="A16" s="63" t="str">
        <x:v>EVD-012</x:v>
      </x:c>
      <x:c r="B16" s="63" t="str">
        <x:v>毛织</x:v>
      </x:c>
      <x:c r="C16" s="63" t="str">
        <x:v>/Users/laoer/Documents/higoods/src/data/fcs/wool-domain/types.ts</x:v>
      </x:c>
      <x:c r="D16" s="63" t="str">
        <x:v>1-55</x:v>
      </x:c>
      <x:c r="E16" s="63" t="str">
        <x:v>纱线投入关系、整件/毛织部位产出和产出编码</x:v>
      </x:c>
      <x:c r="F16" s="63" t="str">
        <x:v>当前代码事实</x:v>
      </x:c>
      <x:c r="G16" s="63" t="str">
        <x:v>毛织部位编码不是普通裁片SKU规则</x:v>
      </x:c>
    </x:row>
    <x:row r="17" ht="64" customHeight="1">
      <x:c r="A17" s="63" t="str">
        <x:v>EVD-013</x:v>
      </x:c>
      <x:c r="B17" s="63" t="str">
        <x:v>捆条</x:v>
      </x:c>
      <x:c r="C17" s="63" t="str">
        <x:v>/Users/laoer/Documents/higoods/src/pages/process-factory/cutting/special-processes-model.ts</x:v>
      </x:c>
      <x:c r="D17" s="63" t="str">
        <x:v>48-73,125-228</x:v>
      </x:c>
      <x:c r="E17" s="63" t="str">
        <x:v>面料投入、捆条明细、计划/实际产出和多维状态</x:v>
      </x:c>
      <x:c r="F17" s="63" t="str">
        <x:v>当前代码事实</x:v>
      </x:c>
      <x:c r="G17" s="63" t="str"/>
    </x:row>
    <x:row r="18" ht="64" customHeight="1">
      <x:c r="A18" s="63" t="str">
        <x:v>EVD-014</x:v>
      </x:c>
      <x:c r="B18" s="63" t="str">
        <x:v>捆条产出</x:v>
      </x:c>
      <x:c r="C18" s="63" t="str">
        <x:v>/Users/laoer/Documents/higoods/src/pages/process-factory/cutting/binding-strip-orders.ts</x:v>
      </x:c>
      <x:c r="D18" s="63" t="str">
        <x:v>835-864</x:v>
      </x:c>
      <x:c r="E18" s="63" t="str">
        <x:v>捆条计划/实际产出以米记录</x:v>
      </x:c>
      <x:c r="F18" s="63" t="str">
        <x:v>当前代码事实</x:v>
      </x:c>
      <x:c r="G18" s="63" t="str"/>
    </x:row>
    <x:row r="19" ht="64" customHeight="1">
      <x:c r="A19" s="64" t="str">
        <x:v>EVD-015</x:v>
      </x:c>
      <x:c r="B19" s="64" t="str">
        <x:v>后道</x:v>
      </x:c>
      <x:c r="C19" s="64" t="str">
        <x:v>/Users/laoer/Documents/higoods/src/data/fcs/post-finishing-domain.ts</x:v>
      </x:c>
      <x:c r="D19" s="64" t="str">
        <x:v>7-16,47-62,115-137,705-763</x:v>
      </x:c>
      <x:c r="E19" s="64" t="str">
        <x:v>成衣SKU、实际工序项目和九个主流程状态</x:v>
      </x:c>
      <x:c r="F19" s="64" t="str">
        <x:v>当前代码事实</x:v>
      </x:c>
      <x:c r="G19" s="64" t="str">
        <x:v>质检/复检与加工混合</x:v>
      </x:c>
    </x:row>
  </x:sheetData>
  <x:mergeCells>
    <x:mergeCell ref="A1:G1"/>
    <x:mergeCell ref="A2:G2"/>
  </x:mergeCells>
  <x:conditionalFormatting sqref="F5:F19">
    <x:cfRule type="containsText" dxfId="19" priority="1" operator="containsText" text="当前代码事实"/>
  </x:conditionalFormatting>
  <x:pageMargins left="0.7" right="0.7" top="0.75" bottom="0.75" header="0.3" footer="0.3"/>
  <x:tableParts count="1">
    <x:tablePart xmlns:r="http://schemas.openxmlformats.org/officeDocument/2006/relationships" r:id="R959d486a9b284aa1"/>
  </x:tableParts>
</x:worksheet>
</file>