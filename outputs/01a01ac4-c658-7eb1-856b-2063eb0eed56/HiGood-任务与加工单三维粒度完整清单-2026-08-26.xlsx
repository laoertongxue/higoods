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2e94e0e68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574cbf766cf842a7"/>
    <x:sheet xmlns:r="http://schemas.openxmlformats.org/officeDocument/2006/relationships" name="完整矩阵" sheetId="2" r:id="R420960b9d3604499"/>
    <x:sheet xmlns:r="http://schemas.openxmlformats.org/officeDocument/2006/relationships" name="任务与单据类型" sheetId="3" r:id="R7fc30b95a86d48be"/>
    <x:sheet xmlns:r="http://schemas.openxmlformats.org/officeDocument/2006/relationships" name="工艺明细清单" sheetId="4" r:id="Rea986d16b823434a"/>
    <x:sheet xmlns:r="http://schemas.openxmlformats.org/officeDocument/2006/relationships" name="代码字典映射" sheetId="5" r:id="R8d426eb140e54aa7"/>
    <x:sheet xmlns:r="http://schemas.openxmlformats.org/officeDocument/2006/relationships" name="待确认与代码差异" sheetId="6" r:id="Rb8be58bb8a42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Microsoft YaHei"/>
    </x:font>
    <x:font>
      <x:sz val="10"/>
      <x:color rgb="FF595959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b/>
      <x:sz val="11"/>
      <x:color rgb="FF1F4E78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6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right" vertical="top" wrapText="1"/>
    </x:xf>
    <x:xf numFmtId="0" fontId="5" fillId="3" borderId="5" xfId="0" applyNumberFormat="1" applyFont="1" applyFill="1" applyBorder="1" applyAlignment="1">
      <x:alignment horizontal="right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422d4f3264246" /><Relationship Type="http://schemas.openxmlformats.org/officeDocument/2006/relationships/theme" Target="/xl/theme/theme1.xml" Id="R9599a7ba0909482f" /><Relationship Type="http://schemas.openxmlformats.org/officeDocument/2006/relationships/sharedStrings" Target="/xl/sharedStrings.xml" Id="R3b8a931405b940c9" /><Relationship Type="http://schemas.openxmlformats.org/officeDocument/2006/relationships/worksheet" Target="/xl/worksheets/sheet1.xml" Id="R574cbf766cf842a7" /><Relationship Type="http://schemas.openxmlformats.org/officeDocument/2006/relationships/worksheet" Target="/xl/worksheets/sheet2.xml" Id="R420960b9d3604499" /><Relationship Type="http://schemas.openxmlformats.org/officeDocument/2006/relationships/worksheet" Target="/xl/worksheets/sheet3.xml" Id="R7fc30b95a86d48be" /><Relationship Type="http://schemas.openxmlformats.org/officeDocument/2006/relationships/worksheet" Target="/xl/worksheets/sheet4.xml" Id="Rea986d16b823434a" /><Relationship Type="http://schemas.openxmlformats.org/officeDocument/2006/relationships/worksheet" Target="/xl/worksheets/sheet5.xml" Id="R8d426eb140e54aa7" /><Relationship Type="http://schemas.openxmlformats.org/officeDocument/2006/relationships/worksheet" Target="/xl/worksheets/sheet6.xml" Id="Rb8be58bb8a4242c3" /></Relationships>
</file>

<file path=xl/tables/table1.xml><?xml version="1.0" encoding="utf-8"?>
<x:table xmlns:x="http://schemas.openxmlformats.org/spreadsheetml/2006/main" id="1" name="TaskWorkOrderMatrix" displayName="TaskWorkOrderMatrix" ref="A4:T115" headerRowCount="1" totalsRowCount="0" totalsRowShown="0">
  <x:autoFilter ref="A4:T115"/>
  <x:tableColumns count="20">
    <x:tableColumn id="1" name="编号"/>
    <x:tableColumn id="2" name="阶段"/>
    <x:tableColumn id="3" name="业务域"/>
    <x:tableColumn id="4" name="任务/加工单类型"/>
    <x:tableColumn id="5" name="下游单据"/>
    <x:tableColumn id="6" name="需求来源"/>
    <x:tableColumn id="7" name="来源适用性"/>
    <x:tableColumn id="8" name="任务分配粒度"/>
    <x:tableColumn id="9" name="分配时明细可选择"/>
    <x:tableColumn id="10" name="需求明细可见"/>
    <x:tableColumn id="11" name="需求明细定义"/>
    <x:tableColumn id="12" name="分配是否拆任务"/>
    <x:tableColumn id="13" name="下游单据生成粒度"/>
    <x:tableColumn id="14" name="生成分组/唯一键"/>
    <x:tableColumn id="15" name="下游单据保留全部明细"/>
    <x:tableColumn id="16" name="承接工厂/组织"/>
    <x:tableColumn id="17" name="正常关系示例"/>
    <x:tableColumn id="18" name="当前代码现状/证据"/>
    <x:tableColumn id="19" name="目标口径状态"/>
    <x:tableColumn id="20" name="备注/待确认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DocumentTypes" displayName="TaskDocumentTypes" ref="A4:N41" headerRowCount="1" totalsRowCount="0" totalsRowShown="0">
  <x:autoFilter ref="A4:N41"/>
  <x:tableColumns count="14">
    <x:tableColumn id="1" name="类型编号"/>
    <x:tableColumn id="2" name="阶段"/>
    <x:tableColumn id="3" name="业务域"/>
    <x:tableColumn id="4" name="任务/加工单类型"/>
    <x:tableColumn id="5" name="下游单据"/>
    <x:tableColumn id="6" name="加工对象"/>
    <x:tableColumn id="7" name="需求明细定义"/>
    <x:tableColumn id="8" name="确认的分配粒度"/>
    <x:tableColumn id="9" name="确认/暂定的生成粒度"/>
    <x:tableColumn id="10" name="当前代码对象"/>
    <x:tableColumn id="11" name="当前代码状态"/>
    <x:tableColumn id="12" name="承接工厂/组织"/>
    <x:tableColumn id="13" name="适用来源范围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aftDetailList" displayName="CraftDetailList" ref="A4:O22" headerRowCount="1" totalsRowCount="0" totalsRowShown="0">
  <x:autoFilter ref="A4:O22"/>
  <x:tableColumns count="15">
    <x:tableColumn id="1" name="编号"/>
    <x:tableColumn id="2" name="分类"/>
    <x:tableColumn id="3" name="工艺"/>
    <x:tableColumn id="4" name="加工对象"/>
    <x:tableColumn id="5" name="技术包选择位置"/>
    <x:tableColumn id="6" name="生产单：分配"/>
    <x:tableColumn id="7" name="生产单：加工单生成"/>
    <x:tableColumn id="8" name="生产单补料：分配"/>
    <x:tableColumn id="9" name="生产单补料：加工单生成"/>
    <x:tableColumn id="10" name="备货采购"/>
    <x:tableColumn id="11" name="加工单内明细"/>
    <x:tableColumn id="12" name="承接工厂"/>
    <x:tableColumn id="13" name="当前工艺代码"/>
    <x:tableColumn id="14" name="当前代码状态"/>
    <x:tableColumn id="15" name="备注/差异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deDictionaryMapping" displayName="CodeDictionaryMapping" ref="A4:L43" headerRowCount="1" totalsRowCount="0" totalsRowShown="0">
  <x:autoFilter ref="A4:L43"/>
  <x:tableColumns count="12">
    <x:tableColumn id="1" name="编号"/>
    <x:tableColumn id="2" name="工序代码"/>
    <x:tableColumn id="3" name="工艺代码"/>
    <x:tableColumn id="4" name="工艺名称"/>
    <x:tableColumn id="5" name="阶段"/>
    <x:tableColumn id="6" name="当前角色/单据"/>
    <x:tableColumn id="7" name="当前分配粒度"/>
    <x:tableColumn id="8" name="当前加工对象"/>
    <x:tableColumn id="9" name="映射到主矩阵类型"/>
    <x:tableColumn id="10" name="业务处理"/>
    <x:tableColumn id="11" name="映射状态"/>
    <x:tableColumn id="12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nIssues" displayName="OpenIssues" ref="A4:H19" headerRowCount="1" totalsRowCount="0" totalsRowShown="0">
  <x:autoFilter ref="A4:H19"/>
  <x:tableColumns count="8">
    <x:tableColumn id="1" name="问题编号"/>
    <x:tableColumn id="2" name="领域"/>
    <x:tableColumn id="3" name="当前代码/现状"/>
    <x:tableColumn id="4" name="最新业务口径"/>
    <x:tableColumn id="5" name="影响维度"/>
    <x:tableColumn id="6" name="状态"/>
    <x:tableColumn id="7" name="实施检查点"/>
    <x:tableColumn id="8" name="证据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421ae75d6f40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286ae783124d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e5fa15d59841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44e242cf844d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d51d09dd1047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55.560001373291016" hidden="0" customWidth="1"/>
    <x:col min="3" max="3" width="26.670000076293945" hidden="0" customWidth="1"/>
    <x:col min="4" max="4" width="33.33000183105469" hidden="0" customWidth="1"/>
    <x:col min="5" max="5" width="2.2200000286102295" hidden="0" customWidth="1"/>
    <x:col min="6" max="6" width="2.2200000286102295" hidden="0" customWidth="1"/>
    <x:col min="7" max="7" width="2.2200000286102295" hidden="0" customWidth="1"/>
    <x:col min="8" max="8" width="2.2200000286102295" hidden="0" customWidth="1"/>
  </x:cols>
  <x:sheetData>
    <x:row r="1" ht="30" customHeight="1">
      <x:c r="A1" s="3" t="str">
        <x:v>HiGood 任务/加工单三维粒度清单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版本：2026-08-26｜用途：产品、研发、测试统一“任务分配—明细可见—下游单据生成”口径；代码现状与目标规则分栏展示。</x:v>
      </x:c>
      <x:c r="B2" s="6"/>
      <x:c r="C2" s="6"/>
      <x:c r="D2" s="6"/>
      <x:c r="E2" s="6"/>
      <x:c r="F2" s="6"/>
      <x:c r="G2" s="6"/>
      <x:c r="H2" s="6"/>
    </x:row>
    <x:row r="4" ht="36" customHeight="1">
      <x:c r="A4" s="15" t="str">
        <x:v>维度</x:v>
      </x:c>
      <x:c r="B4" s="16" t="str">
        <x:v>定义</x:v>
      </x:c>
      <x:c r="C4" s="16" t="str">
        <x:v>不能混淆为</x:v>
      </x:c>
      <x:c r="D4" s="17" t="str">
        <x:v>主表字段</x:v>
      </x:c>
    </x:row>
    <x:row r="5">
      <x:c r="A5" s="23" t="str">
        <x:v>任务分配粒度</x:v>
      </x:c>
      <x:c r="B5" s="23" t="str">
        <x:v>决定把整个任务交给一个工厂，还是选择需求明细后拆分任务。</x:v>
      </x:c>
      <x:c r="C5" s="23" t="str">
        <x:v>明细可见不等于明细可分配。</x:v>
      </x:c>
      <x:c r="D5" s="23" t="str">
        <x:v>任务分配粒度／分配时明细可选择／是否拆任务</x:v>
      </x:c>
    </x:row>
    <x:row r="6">
      <x:c r="A6" s="24" t="str">
        <x:v>需求明细是否可见</x:v>
      </x:c>
      <x:c r="B6" s="24" t="str">
        <x:v>决定列表、弹窗、详情能否查看任务或加工单内的全部需求明细。</x:v>
      </x:c>
      <x:c r="C6" s="24" t="str">
        <x:v>“整任务分配”不能推导为“不显示明细”。</x:v>
      </x:c>
      <x:c r="D6" s="24" t="str">
        <x:v>需求明细可见／需求明细定义</x:v>
      </x:c>
    </x:row>
    <x:row r="7">
      <x:c r="A7" s="24" t="str">
        <x:v>下游单据生成粒度</x:v>
      </x:c>
      <x:c r="B7" s="24" t="str">
        <x:v>决定裁片单/加工单按任务建立，还是按需求明细或业务分组建立。</x:v>
      </x:c>
      <x:c r="C7" s="24" t="str">
        <x:v>不能用任务分配粒度代替单据生成规则。</x:v>
      </x:c>
      <x:c r="D7" s="24" t="str">
        <x:v>下游单据生成粒度／生成分组键</x:v>
      </x:c>
    </x:row>
    <x:row r="9" ht="36" customHeight="1">
      <x:c r="A9" s="15" t="str">
        <x:v>需求来源代码</x:v>
      </x:c>
      <x:c r="B9" s="16" t="str">
        <x:v>业务名称</x:v>
      </x:c>
      <x:c r="C9" s="16" t="str">
        <x:v>口径</x:v>
      </x:c>
      <x:c r="D9" s="17" t="str">
        <x:v>说明</x:v>
      </x:c>
    </x:row>
    <x:row r="10">
      <x:c r="A10" s="23" t="str">
        <x:v>PRODUCTION_ORDER</x:v>
      </x:c>
      <x:c r="B10" s="23" t="str">
        <x:v>生产单</x:v>
      </x:c>
      <x:c r="C10" s="23" t="str">
        <x:v>独立来源</x:v>
      </x:c>
      <x:c r="D10" s="23" t="str">
        <x:v>生产单直接产生的任务/加工需求。</x:v>
      </x:c>
    </x:row>
    <x:row r="11">
      <x:c r="A11" s="24" t="str">
        <x:v>PRODUCTION_SUPPLEMENT</x:v>
      </x:c>
      <x:c r="B11" s="24" t="str">
        <x:v>生产单补料</x:v>
      </x:c>
      <x:c r="C11" s="24" t="str">
        <x:v>独立来源</x:v>
      </x:c>
      <x:c r="D11" s="24" t="str">
        <x:v>生产单补料产生的新加工需求；不得继续沿用CUT_PIECE_SUPPLEMENT作为通用名称。</x:v>
      </x:c>
    </x:row>
    <x:row r="12">
      <x:c r="A12" s="24" t="str">
        <x:v>PURCHASE</x:v>
      </x:c>
      <x:c r="B12" s="24" t="str">
        <x:v>备货采购（采购）</x:v>
      </x:c>
      <x:c r="C12" s="24" t="str">
        <x:v>独立来源</x:v>
      </x:c>
      <x:c r="D12" s="24" t="str">
        <x:v>备货属于采购，不新增STOCK需求来源；界面可沿用业务习惯显示“备货采购”。</x:v>
      </x:c>
    </x:row>
    <x:row r="14">
      <x:c r="A14" s="26" t="str">
        <x:v>已经确认的总规则</x:v>
      </x:c>
      <x:c r="B14" s="26"/>
      <x:c r="C14" s="26"/>
      <x:c r="D14" s="26"/>
      <x:c r="E14" s="26"/>
      <x:c r="F14" s="26"/>
      <x:c r="G14" s="26"/>
      <x:c r="H14" s="26"/>
    </x:row>
    <x:row r="15">
      <x:c r="A15" s="23" t="str">
        <x:v>1. 只有独立车缝任务允许按完整成衣SKU明细选择分配；同一SKU不能拆数量。</x:v>
      </x:c>
      <x:c r="B15" s="23"/>
      <x:c r="C15" s="23"/>
      <x:c r="D15" s="23"/>
      <x:c r="E15" s="23"/>
      <x:c r="F15" s="23"/>
      <x:c r="G15" s="23"/>
      <x:c r="H15" s="23"/>
    </x:row>
    <x:row r="16">
      <x:c r="A16" s="24" t="str">
        <x:v>2. 其他任务全部按整个任务分配；仍然可以查看需求明细，但不出现分配复选框。</x:v>
      </x:c>
      <x:c r="B16" s="24"/>
      <x:c r="C16" s="24"/>
      <x:c r="D16" s="24"/>
      <x:c r="E16" s="24"/>
      <x:c r="F16" s="24"/>
      <x:c r="G16" s="24"/>
      <x:c r="H16" s="24"/>
    </x:row>
    <x:row r="17">
      <x:c r="A17" s="24" t="str">
        <x:v>3. 裁片任务整任务分配；任务下的裁片单按“物料+纸样”明细生成。</x:v>
      </x:c>
      <x:c r="B17" s="24"/>
      <x:c r="C17" s="24"/>
      <x:c r="D17" s="24"/>
      <x:c r="E17" s="24"/>
      <x:c r="F17" s="24"/>
      <x:c r="G17" s="24"/>
      <x:c r="H17" s="24"/>
    </x:row>
    <x:row r="18">
      <x:c r="A18" s="24" t="str">
        <x:v>4. 生产单、生产单补料来源的辅助工艺和特种工艺整任务分配；加工单不按明细拆分，单内展示全部明细。</x:v>
      </x:c>
      <x:c r="B18" s="24"/>
      <x:c r="C18" s="24"/>
      <x:c r="D18" s="24"/>
      <x:c r="E18" s="24"/>
      <x:c r="F18" s="24"/>
      <x:c r="G18" s="24"/>
      <x:c r="H18" s="24"/>
    </x:row>
    <x:row r="19">
      <x:c r="A19" s="24" t="str">
        <x:v>5. PREP准备任务整任务分配；加工单按需求明细/业务分组生成。</x:v>
      </x:c>
      <x:c r="B19" s="24"/>
      <x:c r="C19" s="24"/>
      <x:c r="D19" s="24"/>
      <x:c r="E19" s="24"/>
      <x:c r="F19" s="24"/>
      <x:c r="G19" s="24"/>
      <x:c r="H19" s="24"/>
    </x:row>
    <x:row r="20">
      <x:c r="A20" s="24" t="str">
        <x:v>6. 辅料加工任务整任务分配；加工单按采购需求明细生成。</x:v>
      </x:c>
      <x:c r="B20" s="24"/>
      <x:c r="C20" s="24"/>
      <x:c r="D20" s="24"/>
      <x:c r="E20" s="24"/>
      <x:c r="F20" s="24"/>
      <x:c r="G20" s="24"/>
      <x:c r="H20" s="24"/>
    </x:row>
    <x:row r="21">
      <x:c r="A21" s="24" t="str">
        <x:v>7. 车缝+烫包、裁片+车缝+烫包、整单任务均整任务分配，需求明细只读可见。</x:v>
      </x:c>
      <x:c r="B21" s="24"/>
      <x:c r="C21" s="24"/>
      <x:c r="D21" s="24"/>
      <x:c r="E21" s="24"/>
      <x:c r="F21" s="24"/>
      <x:c r="G21" s="24"/>
      <x:c r="H21" s="24"/>
    </x:row>
    <x:row r="22">
      <x:c r="A22" s="24" t="str">
        <x:v>8. 下游去向依赖冻结生产工序顺序，暂不在本清单建立统一去向算法。</x:v>
      </x:c>
      <x:c r="B22" s="24"/>
      <x:c r="C22" s="24"/>
      <x:c r="D22" s="24"/>
      <x:c r="E22" s="24"/>
      <x:c r="F22" s="24"/>
      <x:c r="G22" s="24"/>
      <x:c r="H22" s="24"/>
    </x:row>
    <x:row r="24" ht="36" customHeight="1">
      <x:c r="A24" s="15" t="str">
        <x:v>统计项</x:v>
      </x:c>
      <x:c r="B24" s="16" t="str">
        <x:v>公式结果</x:v>
      </x:c>
      <x:c r="C24" s="16" t="str">
        <x:v>核查目标</x:v>
      </x:c>
      <x:c r="D24" s="17" t="str">
        <x:v>解释</x:v>
      </x:c>
    </x:row>
    <x:row r="25">
      <x:c r="A25" s="23" t="str">
        <x:v>矩阵总行数</x:v>
      </x:c>
      <x:c r="B25" s="31" t="n">
        <x:f>COUNTA('完整矩阵'!$A$5:$A$115)</x:f>
        <x:v>111</x:v>
      </x:c>
      <x:c r="C25" s="23" t="str">
        <x:v>完整性</x:v>
      </x:c>
      <x:c r="D25" s="23" t="str">
        <x:v>每个任务/单据类型均按三种来源展开。</x:v>
      </x:c>
    </x:row>
    <x:row r="26">
      <x:c r="A26" s="24" t="str">
        <x:v>适用/条件适用组合</x:v>
      </x:c>
      <x:c r="B26" s="32" t="n">
        <x:f>COUNTIF('完整矩阵'!$G$5:$G$115,"适用")+COUNTIF('完整矩阵'!$G$5:$G$115,"条件适用")</x:f>
        <x:v>63</x:v>
      </x:c>
      <x:c r="C26" s="24" t="str">
        <x:v>来源适用性</x:v>
      </x:c>
      <x:c r="D26" s="24" t="str">
        <x:v>条件适用代表只有发生对应需求时才生成。</x:v>
      </x:c>
    </x:row>
    <x:row r="27">
      <x:c r="A27" s="24" t="str">
        <x:v>按明细分配组合</x:v>
      </x:c>
      <x:c r="B27" s="32" t="n">
        <x:f>COUNTIF('完整矩阵'!$H$5:$H$115,"按明细（完整成衣SKU）")</x:f>
        <x:v>1</x:v>
      </x:c>
      <x:c r="C27" s="24" t="str">
        <x:v>应为1</x:v>
      </x:c>
      <x:c r="D27" s="24" t="str">
        <x:v>当前仅生产单来源的独立车缝一行可选明细。</x:v>
      </x:c>
    </x:row>
    <x:row r="28">
      <x:c r="A28" s="24" t="str">
        <x:v>整任务分配组合</x:v>
      </x:c>
      <x:c r="B28" s="32" t="n">
        <x:f>COUNTIF('完整矩阵'!$H$5:$H$115,"整个任务")</x:f>
        <x:v>58</x:v>
      </x:c>
      <x:c r="C28" s="24" t="str">
        <x:v>除独立车缝外</x:v>
      </x:c>
      <x:c r="D28" s="24" t="str">
        <x:v>整任务仍显示明细。</x:v>
      </x:c>
    </x:row>
    <x:row r="29">
      <x:c r="A29" s="24" t="str">
        <x:v>按需求明细生成下游单据</x:v>
      </x:c>
      <x:c r="B29" s="32" t="n">
        <x:f>COUNTIF('完整矩阵'!$M$5:$M$115,"按需求明细生成下游单据")</x:f>
        <x:v>15</x:v>
      </x:c>
      <x:c r="C29" s="24" t="str">
        <x:v>裁片/PREP/辅料加工等</x:v>
      </x:c>
      <x:c r="D29" s="24" t="str">
        <x:v>生成粒度与任务分配相互独立。</x:v>
      </x:c>
    </x:row>
    <x:row r="30">
      <x:c r="A30" s="24" t="str">
        <x:v>待确认/部分确认</x:v>
      </x:c>
      <x:c r="B30" s="32" t="n">
        <x:f>COUNTIF('完整矩阵'!$S$5:$S$115,"待确认")+COUNTIF('完整矩阵'!$S$5:$S$115,"部分确认")</x:f>
        <x:v>42</x:v>
      </x:c>
      <x:c r="C30" s="24" t="str">
        <x:v>后续业务确认清单</x:v>
      </x:c>
      <x:c r="D30" s="24" t="str">
        <x:v>不得擅自补结论。</x:v>
      </x:c>
    </x:row>
    <x:row r="31">
      <x:c r="A31" s="24" t="str">
        <x:v>代码冲突</x:v>
      </x:c>
      <x:c r="B31" s="32" t="n">
        <x:f>COUNTIF('完整矩阵'!$S$5:$S$115,"代码冲突")</x:f>
        <x:v>30</x:v>
      </x:c>
      <x:c r="C31" s="24" t="str">
        <x:v>实施必须修正</x:v>
      </x:c>
      <x:c r="D31" s="24" t="str">
        <x:v>与最新业务口径冲突的现状。</x:v>
      </x:c>
    </x:row>
  </x:sheetData>
  <x:mergeCells>
    <x:mergeCell ref="A1:H1"/>
    <x:mergeCell ref="A2:H2"/>
    <x:mergeCell ref="A14:H14"/>
    <x:mergeCell ref="A15:H15"/>
    <x:mergeCell ref="A16:H16"/>
    <x:mergeCell ref="A17:H17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11.670000076293945" hidden="0" customWidth="1"/>
    <x:col min="3" max="3" width="13.329999923706055" hidden="0" customWidth="1"/>
    <x:col min="4" max="4" width="21.110000610351562" hidden="0" customWidth="1"/>
    <x:col min="5" max="5" width="20" hidden="0" customWidth="1"/>
    <x:col min="6" max="6" width="12.779999732971191" hidden="0" customWidth="1"/>
    <x:col min="7" max="7" width="11.109999656677246" hidden="0" customWidth="1"/>
    <x:col min="8" max="8" width="16.670000076293945" hidden="0" customWidth="1"/>
    <x:col min="9" max="9" width="12.220000267028809" hidden="0" customWidth="1"/>
    <x:col min="10" max="10" width="10.5600004196167" hidden="0" customWidth="1"/>
    <x:col min="11" max="11" width="33.33000183105469" hidden="0" customWidth="1"/>
    <x:col min="12" max="12" width="12.779999732971191" hidden="0" customWidth="1"/>
    <x:col min="13" max="13" width="22.780000686645508" hidden="0" customWidth="1"/>
    <x:col min="14" max="14" width="32.220001220703125" hidden="0" customWidth="1"/>
    <x:col min="15" max="15" width="16.110000610351562" hidden="0" customWidth="1"/>
    <x:col min="16" max="16" width="20" hidden="0" customWidth="1"/>
    <x:col min="17" max="17" width="36.66999816894531" hidden="0" customWidth="1"/>
    <x:col min="18" max="18" width="36.66999816894531" hidden="0" customWidth="1"/>
    <x:col min="19" max="19" width="11.670000076293945" hidden="0" customWidth="1"/>
    <x:col min="20" max="20" width="36.66999816894531" hidden="0" customWidth="1"/>
  </x:cols>
  <x:sheetData>
    <x:row r="1" ht="30" customHeight="1">
      <x:c r="A1" s="3" t="str">
        <x:v>完整矩阵：任务/加工单 × 需求来源 × 三个粒度维度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4" customHeight="1">
      <x:c r="A2" s="6" t="str">
        <x:v>共 111 行；每种任务/加工单按生产单、生产单补料、备货采购三种来源分别列示。绿色=已确认，黄色=待确认/部分确认，红色=代码冲突，灰色=不适用。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4" ht="36" customHeight="1">
      <x:c r="A4" s="15" t="str">
        <x:v>编号</x:v>
      </x:c>
      <x:c r="B4" s="16" t="str">
        <x:v>阶段</x:v>
      </x:c>
      <x:c r="C4" s="16" t="str">
        <x:v>业务域</x:v>
      </x:c>
      <x:c r="D4" s="16" t="str">
        <x:v>任务/加工单类型</x:v>
      </x:c>
      <x:c r="E4" s="16" t="str">
        <x:v>下游单据</x:v>
      </x:c>
      <x:c r="F4" s="16" t="str">
        <x:v>需求来源</x:v>
      </x:c>
      <x:c r="G4" s="16" t="str">
        <x:v>来源适用性</x:v>
      </x:c>
      <x:c r="H4" s="16" t="str">
        <x:v>任务分配粒度</x:v>
      </x:c>
      <x:c r="I4" s="16" t="str">
        <x:v>分配时明细可选择</x:v>
      </x:c>
      <x:c r="J4" s="16" t="str">
        <x:v>需求明细可见</x:v>
      </x:c>
      <x:c r="K4" s="16" t="str">
        <x:v>需求明细定义</x:v>
      </x:c>
      <x:c r="L4" s="16" t="str">
        <x:v>分配是否拆任务</x:v>
      </x:c>
      <x:c r="M4" s="16" t="str">
        <x:v>下游单据生成粒度</x:v>
      </x:c>
      <x:c r="N4" s="16" t="str">
        <x:v>生成分组/唯一键</x:v>
      </x:c>
      <x:c r="O4" s="16" t="str">
        <x:v>下游单据保留全部明细</x:v>
      </x:c>
      <x:c r="P4" s="16" t="str">
        <x:v>承接工厂/组织</x:v>
      </x:c>
      <x:c r="Q4" s="16" t="str">
        <x:v>正常关系示例</x:v>
      </x:c>
      <x:c r="R4" s="16" t="str">
        <x:v>当前代码现状/证据</x:v>
      </x:c>
      <x:c r="S4" s="16" t="str">
        <x:v>目标口径状态</x:v>
      </x:c>
      <x:c r="T4" s="17" t="str">
        <x:v>备注/待确认</x:v>
      </x:c>
    </x:row>
    <x:row r="5" ht="64" customHeight="1">
      <x:c r="A5" s="33" t="str">
        <x:v>M-001</x:v>
      </x:c>
      <x:c r="B5" s="23" t="str">
        <x:v>PREP 准备阶段</x:v>
      </x:c>
      <x:c r="C5" s="23" t="str">
        <x:v>生产准备工艺</x:v>
      </x:c>
      <x:c r="D5" s="23" t="str">
        <x:v>印花准备任务</x:v>
      </x:c>
      <x:c r="E5" s="23" t="str">
        <x:v>印花加工单</x:v>
      </x:c>
      <x:c r="F5" s="33" t="str">
        <x:v>生产单</x:v>
      </x:c>
      <x:c r="G5" s="33" t="str">
        <x:v>适用</x:v>
      </x:c>
      <x:c r="H5" s="33" t="str">
        <x:v>整个任务</x:v>
      </x:c>
      <x:c r="I5" s="33" t="str">
        <x:v>否</x:v>
      </x:c>
      <x:c r="J5" s="33" t="str">
        <x:v>是</x:v>
      </x:c>
      <x:c r="K5" s="23" t="str">
        <x:v>加工前对象（面料/BOM物料）+ 花型/图案版本</x:v>
      </x:c>
      <x:c r="L5" s="33" t="str">
        <x:v>否</x:v>
      </x:c>
      <x:c r="M5" s="33" t="str">
        <x:v>按需求明细生成下游单据</x:v>
      </x:c>
      <x:c r="N5" s="33" t="str">
        <x:v>生产单 + 加工前对象 + 花型/图案版本</x:v>
      </x:c>
      <x:c r="O5" s="33" t="str">
        <x:v>是</x:v>
      </x:c>
      <x:c r="P5" s="23" t="str">
        <x:v>对应准备工艺承接工厂（尚未统一工厂主数据口径）</x:v>
      </x:c>
      <x:c r="Q5" s="23" t="str">
        <x:v>一个印花准备任务整体分配；按“加工前对象+花型”形成印花加工单。</x:v>
      </x:c>
      <x:c r="R5" s="23" t="str">
        <x:v>src/data/fcs/process-work-order-domain.ts；src/data/fcs/printing-work-order-business.ts；src/data/fcs/process-craft-dict.ts</x:v>
      </x:c>
      <x:c r="S5" s="33" t="str">
        <x:v>已确认</x:v>
      </x:c>
      <x:c r="T5" s="23" t="str"/>
    </x:row>
    <x:row r="6" ht="64" customHeight="1">
      <x:c r="A6" s="34" t="str">
        <x:v>M-002</x:v>
      </x:c>
      <x:c r="B6" s="24" t="str">
        <x:v>PREP 准备阶段</x:v>
      </x:c>
      <x:c r="C6" s="24" t="str">
        <x:v>生产准备工艺</x:v>
      </x:c>
      <x:c r="D6" s="24" t="str">
        <x:v>印花准备任务</x:v>
      </x:c>
      <x:c r="E6" s="24" t="str">
        <x:v>印花加工单</x:v>
      </x:c>
      <x:c r="F6" s="34" t="str">
        <x:v>生产单补料</x:v>
      </x:c>
      <x:c r="G6" s="34" t="str">
        <x:v>条件适用</x:v>
      </x:c>
      <x:c r="H6" s="34" t="str">
        <x:v>整个任务</x:v>
      </x:c>
      <x:c r="I6" s="34" t="str">
        <x:v>否</x:v>
      </x:c>
      <x:c r="J6" s="34" t="str">
        <x:v>是</x:v>
      </x:c>
      <x:c r="K6" s="24" t="str">
        <x:v>补料来源 + 加工前对象 + 花型/图案版本</x:v>
      </x:c>
      <x:c r="L6" s="34" t="str">
        <x:v>否</x:v>
      </x:c>
      <x:c r="M6" s="34" t="str">
        <x:v>按需求明细生成下游单据</x:v>
      </x:c>
      <x:c r="N6" s="34" t="str">
        <x:v>生产单补料 + 加工前对象 + 花型/图案版本</x:v>
      </x:c>
      <x:c r="O6" s="34" t="str">
        <x:v>是</x:v>
      </x:c>
      <x:c r="P6" s="24" t="str">
        <x:v>对应准备工艺承接工厂（尚未统一工厂主数据口径）</x:v>
      </x:c>
      <x:c r="Q6" s="24" t="str">
        <x:v>补料仍需印花时，整任务分配并按补料需求明细生成加工单。</x:v>
      </x:c>
      <x:c r="R6" s="24" t="str">
        <x:v>src/data/fcs/process-work-order-domain.ts；src/data/fcs/printing-work-order-business.ts；src/data/fcs/process-craft-dict.ts</x:v>
      </x:c>
      <x:c r="S6" s="34" t="str">
        <x:v>代码冲突</x:v>
      </x:c>
      <x:c r="T6" s="24" t="str">
        <x:v>业务规则已确认；当前通用源枚举没有正式的PRODUCTION_SUPPLEMENT。</x:v>
      </x:c>
    </x:row>
    <x:row r="7" ht="64" customHeight="1">
      <x:c r="A7" s="34" t="str">
        <x:v>M-003</x:v>
      </x:c>
      <x:c r="B7" s="24" t="str">
        <x:v>PREP 准备阶段</x:v>
      </x:c>
      <x:c r="C7" s="24" t="str">
        <x:v>生产准备工艺</x:v>
      </x:c>
      <x:c r="D7" s="24" t="str">
        <x:v>印花准备任务</x:v>
      </x:c>
      <x:c r="E7" s="24" t="str">
        <x:v>印花加工单</x:v>
      </x:c>
      <x:c r="F7" s="34" t="str">
        <x:v>备货采购（采购）</x:v>
      </x:c>
      <x:c r="G7" s="34" t="str">
        <x:v>适用</x:v>
      </x:c>
      <x:c r="H7" s="34" t="str">
        <x:v>整个任务</x:v>
      </x:c>
      <x:c r="I7" s="34" t="str">
        <x:v>否</x:v>
      </x:c>
      <x:c r="J7" s="34" t="str">
        <x:v>是</x:v>
      </x:c>
      <x:c r="K7" s="24" t="str">
        <x:v>备货采购行 + 加工前对象 + 花型/图案版本</x:v>
      </x:c>
      <x:c r="L7" s="34" t="str">
        <x:v>否</x:v>
      </x:c>
      <x:c r="M7" s="34" t="str">
        <x:v>按需求明细生成下游单据</x:v>
      </x:c>
      <x:c r="N7" s="34" t="str">
        <x:v>采购/备货批次 + 加工前对象 + 花型/图案版本</x:v>
      </x:c>
      <x:c r="O7" s="34" t="str">
        <x:v>是</x:v>
      </x:c>
      <x:c r="P7" s="24" t="str">
        <x:v>对应准备工艺承接工厂（尚未统一工厂主数据口径）</x:v>
      </x:c>
      <x:c r="Q7" s="24" t="str">
        <x:v>备货采购的印花需求整任务分配，按需求明细生成加工单。</x:v>
      </x:c>
      <x:c r="R7" s="24" t="str">
        <x:v>src/data/fcs/process-work-order-domain.ts；src/data/fcs/printing-work-order-business.ts；src/data/fcs/process-craft-dict.ts</x:v>
      </x:c>
      <x:c r="S7" s="34" t="str">
        <x:v>部分确认</x:v>
      </x:c>
      <x:c r="T7" s="24" t="str">
        <x:v>当前代码以STOCK表示备货，目标需统一为PURCHASE。</x:v>
      </x:c>
    </x:row>
    <x:row r="8" ht="64" customHeight="1">
      <x:c r="A8" s="34" t="str">
        <x:v>M-004</x:v>
      </x:c>
      <x:c r="B8" s="24" t="str">
        <x:v>PREP 准备阶段</x:v>
      </x:c>
      <x:c r="C8" s="24" t="str">
        <x:v>生产准备工艺</x:v>
      </x:c>
      <x:c r="D8" s="24" t="str">
        <x:v>染色准备任务</x:v>
      </x:c>
      <x:c r="E8" s="24" t="str">
        <x:v>染色加工单</x:v>
      </x:c>
      <x:c r="F8" s="34" t="str">
        <x:v>生产单</x:v>
      </x:c>
      <x:c r="G8" s="34" t="str">
        <x:v>适用</x:v>
      </x:c>
      <x:c r="H8" s="34" t="str">
        <x:v>整个任务</x:v>
      </x:c>
      <x:c r="I8" s="34" t="str">
        <x:v>否</x:v>
      </x:c>
      <x:c r="J8" s="34" t="str">
        <x:v>是</x:v>
      </x:c>
      <x:c r="K8" s="24" t="str">
        <x:v>BOM物料/加工前对象 + 目标颜色</x:v>
      </x:c>
      <x:c r="L8" s="34" t="str">
        <x:v>否</x:v>
      </x:c>
      <x:c r="M8" s="34" t="str">
        <x:v>按需求明细生成下游单据</x:v>
      </x:c>
      <x:c r="N8" s="34" t="str">
        <x:v>生产单 + BOM物料身份 + 目标颜色</x:v>
      </x:c>
      <x:c r="O8" s="34" t="str">
        <x:v>是</x:v>
      </x:c>
      <x:c r="P8" s="24" t="str">
        <x:v>对应准备工艺承接工厂（尚未统一工厂主数据口径）</x:v>
      </x:c>
      <x:c r="Q8" s="24" t="str">
        <x:v>染色任务整体分配；加工单按物料与目标颜色需求形成。</x:v>
      </x:c>
      <x:c r="R8" s="24" t="str">
        <x:v>src/data/fcs/process-work-order-domain.ts；src/data/fcs/dye-work-orders.ts；src/data/fcs/process-craft-dict.ts</x:v>
      </x:c>
      <x:c r="S8" s="34" t="str">
        <x:v>已确认</x:v>
      </x:c>
      <x:c r="T8" s="24" t="str">
        <x:v>共同染色是批次层，不合并原加工单。</x:v>
      </x:c>
    </x:row>
    <x:row r="9" ht="64" customHeight="1">
      <x:c r="A9" s="34" t="str">
        <x:v>M-005</x:v>
      </x:c>
      <x:c r="B9" s="24" t="str">
        <x:v>PREP 准备阶段</x:v>
      </x:c>
      <x:c r="C9" s="24" t="str">
        <x:v>生产准备工艺</x:v>
      </x:c>
      <x:c r="D9" s="24" t="str">
        <x:v>染色准备任务</x:v>
      </x:c>
      <x:c r="E9" s="24" t="str">
        <x:v>染色加工单</x:v>
      </x:c>
      <x:c r="F9" s="34" t="str">
        <x:v>生产单补料</x:v>
      </x:c>
      <x:c r="G9" s="34" t="str">
        <x:v>条件适用</x:v>
      </x:c>
      <x:c r="H9" s="34" t="str">
        <x:v>整个任务</x:v>
      </x:c>
      <x:c r="I9" s="34" t="str">
        <x:v>否</x:v>
      </x:c>
      <x:c r="J9" s="34" t="str">
        <x:v>是</x:v>
      </x:c>
      <x:c r="K9" s="24" t="str">
        <x:v>补料来源 + BOM物料身份 + 目标颜色</x:v>
      </x:c>
      <x:c r="L9" s="34" t="str">
        <x:v>否</x:v>
      </x:c>
      <x:c r="M9" s="34" t="str">
        <x:v>按需求明细生成下游单据</x:v>
      </x:c>
      <x:c r="N9" s="34" t="str">
        <x:v>生产单补料 + BOM物料身份 + 目标颜色</x:v>
      </x:c>
      <x:c r="O9" s="34" t="str">
        <x:v>是</x:v>
      </x:c>
      <x:c r="P9" s="24" t="str">
        <x:v>对应准备工艺承接工厂（尚未统一工厂主数据口径）</x:v>
      </x:c>
      <x:c r="Q9" s="24" t="str">
        <x:v>补料需要染色时整任务分配，并按补料需求明细生成加工单。</x:v>
      </x:c>
      <x:c r="R9" s="24" t="str">
        <x:v>src/data/fcs/process-work-order-domain.ts；src/data/fcs/dye-work-orders.ts；src/data/fcs/process-craft-dict.ts</x:v>
      </x:c>
      <x:c r="S9" s="34" t="str">
        <x:v>代码冲突</x:v>
      </x:c>
      <x:c r="T9" s="24" t="str">
        <x:v>当前通用源枚举没有正式的PRODUCTION_SUPPLEMENT。</x:v>
      </x:c>
    </x:row>
    <x:row r="10" ht="64" customHeight="1">
      <x:c r="A10" s="34" t="str">
        <x:v>M-006</x:v>
      </x:c>
      <x:c r="B10" s="24" t="str">
        <x:v>PREP 准备阶段</x:v>
      </x:c>
      <x:c r="C10" s="24" t="str">
        <x:v>生产准备工艺</x:v>
      </x:c>
      <x:c r="D10" s="24" t="str">
        <x:v>染色准备任务</x:v>
      </x:c>
      <x:c r="E10" s="24" t="str">
        <x:v>染色加工单</x:v>
      </x:c>
      <x:c r="F10" s="34" t="str">
        <x:v>备货采购（采购）</x:v>
      </x:c>
      <x:c r="G10" s="34" t="str">
        <x:v>适用</x:v>
      </x:c>
      <x:c r="H10" s="34" t="str">
        <x:v>整个任务</x:v>
      </x:c>
      <x:c r="I10" s="34" t="str">
        <x:v>否</x:v>
      </x:c>
      <x:c r="J10" s="34" t="str">
        <x:v>是</x:v>
      </x:c>
      <x:c r="K10" s="24" t="str">
        <x:v>备货采购行 + 加工前对象 + 目标颜色</x:v>
      </x:c>
      <x:c r="L10" s="34" t="str">
        <x:v>否</x:v>
      </x:c>
      <x:c r="M10" s="34" t="str">
        <x:v>按需求明细生成下游单据</x:v>
      </x:c>
      <x:c r="N10" s="34" t="str">
        <x:v>采购/备货批次 + 加工前对象 + 目标颜色</x:v>
      </x:c>
      <x:c r="O10" s="34" t="str">
        <x:v>是</x:v>
      </x:c>
      <x:c r="P10" s="24" t="str">
        <x:v>对应准备工艺承接工厂（尚未统一工厂主数据口径）</x:v>
      </x:c>
      <x:c r="Q10" s="24" t="str">
        <x:v>备货采购染色需求整任务分配，按明细生成加工单。</x:v>
      </x:c>
      <x:c r="R10" s="24" t="str">
        <x:v>src/data/fcs/process-work-order-domain.ts；src/data/fcs/dye-work-orders.ts；src/data/fcs/process-craft-dict.ts</x:v>
      </x:c>
      <x:c r="S10" s="34" t="str">
        <x:v>部分确认</x:v>
      </x:c>
      <x:c r="T10" s="24" t="str">
        <x:v>当前代码以STOCK表示备货，目标需统一为PURCHASE。</x:v>
      </x:c>
    </x:row>
    <x:row r="11" ht="64" customHeight="1">
      <x:c r="A11" s="34" t="str">
        <x:v>M-007</x:v>
      </x:c>
      <x:c r="B11" s="24" t="str">
        <x:v>PREP 准备阶段</x:v>
      </x:c>
      <x:c r="C11" s="24" t="str">
        <x:v>生产准备工艺</x:v>
      </x:c>
      <x:c r="D11" s="24" t="str">
        <x:v>水溶准备任务</x:v>
      </x:c>
      <x:c r="E11" s="24" t="str">
        <x:v>水溶加工单</x:v>
      </x:c>
      <x:c r="F11" s="34" t="str">
        <x:v>生产单</x:v>
      </x:c>
      <x:c r="G11" s="34" t="str">
        <x:v>适用</x:v>
      </x:c>
      <x:c r="H11" s="34" t="str">
        <x:v>整个任务</x:v>
      </x:c>
      <x:c r="I11" s="34" t="str">
        <x:v>否</x:v>
      </x:c>
      <x:c r="J11" s="34" t="str">
        <x:v>是</x:v>
      </x:c>
      <x:c r="K11" s="24" t="str">
        <x:v>生产单 + BOM物料身份</x:v>
      </x:c>
      <x:c r="L11" s="34" t="str">
        <x:v>否</x:v>
      </x:c>
      <x:c r="M11" s="34" t="str">
        <x:v>按需求明细生成下游单据</x:v>
      </x:c>
      <x:c r="N11" s="34" t="str">
        <x:v>productionOrderId + bomItemId</x:v>
      </x:c>
      <x:c r="O11" s="34" t="str">
        <x:v>是</x:v>
      </x:c>
      <x:c r="P11" s="24" t="str">
        <x:v>对应准备工艺承接工厂（尚未统一工厂主数据口径）</x:v>
      </x:c>
      <x:c r="Q11" s="24" t="str">
        <x:v>水溶任务整体分配；按BOM物料需求明细形成加工单。</x:v>
      </x:c>
      <x:c r="R11" s="24" t="str">
        <x:v>src/data/fcs/process-work-order-domain.ts；src/data/fcs/water-soluble-work-orders.ts</x:v>
      </x:c>
      <x:c r="S11" s="34" t="str">
        <x:v>已确认</x:v>
      </x:c>
      <x:c r="T11" s="24" t="str"/>
    </x:row>
    <x:row r="12" ht="64" customHeight="1">
      <x:c r="A12" s="34" t="str">
        <x:v>M-008</x:v>
      </x:c>
      <x:c r="B12" s="24" t="str">
        <x:v>PREP 准备阶段</x:v>
      </x:c>
      <x:c r="C12" s="24" t="str">
        <x:v>生产准备工艺</x:v>
      </x:c>
      <x:c r="D12" s="24" t="str">
        <x:v>水溶准备任务</x:v>
      </x:c>
      <x:c r="E12" s="24" t="str">
        <x:v>水溶加工单</x:v>
      </x:c>
      <x:c r="F12" s="34" t="str">
        <x:v>生产单补料</x:v>
      </x:c>
      <x:c r="G12" s="34" t="str">
        <x:v>条件适用</x:v>
      </x:c>
      <x:c r="H12" s="34" t="str">
        <x:v>整个任务</x:v>
      </x:c>
      <x:c r="I12" s="34" t="str">
        <x:v>否</x:v>
      </x:c>
      <x:c r="J12" s="34" t="str">
        <x:v>是</x:v>
      </x:c>
      <x:c r="K12" s="24" t="str">
        <x:v>生产单补料 + BOM物料身份</x:v>
      </x:c>
      <x:c r="L12" s="34" t="str">
        <x:v>否</x:v>
      </x:c>
      <x:c r="M12" s="34" t="str">
        <x:v>按需求明细生成下游单据</x:v>
      </x:c>
      <x:c r="N12" s="34" t="str">
        <x:v>补料来源ID + bomItemId</x:v>
      </x:c>
      <x:c r="O12" s="34" t="str">
        <x:v>是</x:v>
      </x:c>
      <x:c r="P12" s="24" t="str">
        <x:v>对应准备工艺承接工厂（尚未统一工厂主数据口径）</x:v>
      </x:c>
      <x:c r="Q12" s="24" t="str">
        <x:v>补料仍需水溶时整任务分配，并按补料物料明细生成加工单。</x:v>
      </x:c>
      <x:c r="R12" s="24" t="str">
        <x:v>src/data/fcs/process-work-order-domain.ts；src/data/fcs/water-soluble-work-orders.ts</x:v>
      </x:c>
      <x:c r="S12" s="34" t="str">
        <x:v>代码冲突</x:v>
      </x:c>
      <x:c r="T12" s="24" t="str">
        <x:v>当前水溶加工单没有完整的生产单补料来源模型。</x:v>
      </x:c>
    </x:row>
    <x:row r="13" ht="64" customHeight="1">
      <x:c r="A13" s="34" t="str">
        <x:v>M-009</x:v>
      </x:c>
      <x:c r="B13" s="24" t="str">
        <x:v>PREP 准备阶段</x:v>
      </x:c>
      <x:c r="C13" s="24" t="str">
        <x:v>生产准备工艺</x:v>
      </x:c>
      <x:c r="D13" s="24" t="str">
        <x:v>水溶准备任务</x:v>
      </x:c>
      <x:c r="E13" s="24" t="str">
        <x:v>水溶加工单</x:v>
      </x:c>
      <x:c r="F13" s="34" t="str">
        <x:v>备货采购（采购）</x:v>
      </x:c>
      <x:c r="G13" s="34" t="str">
        <x:v>待确认</x:v>
      </x:c>
      <x:c r="H13" s="34" t="str">
        <x:v>如适用则整个任务</x:v>
      </x:c>
      <x:c r="I13" s="34" t="str">
        <x:v>否</x:v>
      </x:c>
      <x:c r="J13" s="34" t="str">
        <x:v>是</x:v>
      </x:c>
      <x:c r="K13" s="24" t="str">
        <x:v>采购行 + BOM物料身份</x:v>
      </x:c>
      <x:c r="L13" s="34" t="str">
        <x:v>否</x:v>
      </x:c>
      <x:c r="M13" s="34" t="str">
        <x:v>待确认</x:v>
      </x:c>
      <x:c r="N13" s="34" t="str">
        <x:v>待确认</x:v>
      </x:c>
      <x:c r="O13" s="34" t="str">
        <x:v>待确认</x:v>
      </x:c>
      <x:c r="P13" s="24" t="str">
        <x:v>对应准备工艺承接工厂（尚未统一工厂主数据口径）</x:v>
      </x:c>
      <x:c r="Q13" s="24" t="str">
        <x:v>待确认该来源是否产生此类任务/加工单</x:v>
      </x:c>
      <x:c r="R13" s="24" t="str">
        <x:v>src/data/fcs/process-work-order-domain.ts；src/data/fcs/water-soluble-work-orders.ts</x:v>
      </x:c>
      <x:c r="S13" s="34" t="str">
        <x:v>待确认</x:v>
      </x:c>
      <x:c r="T13" s="24" t="str">
        <x:v>是否允许备货采购直接触发水溶加工单尚未确认。</x:v>
      </x:c>
    </x:row>
    <x:row r="14" ht="64" customHeight="1">
      <x:c r="A14" s="34" t="str">
        <x:v>M-010</x:v>
      </x:c>
      <x:c r="B14" s="24" t="str">
        <x:v>PREP 准备阶段</x:v>
      </x:c>
      <x:c r="C14" s="24" t="str">
        <x:v>生产准备工艺</x:v>
      </x:c>
      <x:c r="D14" s="24" t="str">
        <x:v>缩水准备任务</x:v>
      </x:c>
      <x:c r="E14" s="24" t="str">
        <x:v>缩水加工单</x:v>
      </x:c>
      <x:c r="F14" s="34" t="str">
        <x:v>生产单</x:v>
      </x:c>
      <x:c r="G14" s="34" t="str">
        <x:v>适用</x:v>
      </x:c>
      <x:c r="H14" s="34" t="str">
        <x:v>整个任务</x:v>
      </x:c>
      <x:c r="I14" s="34" t="str">
        <x:v>否</x:v>
      </x:c>
      <x:c r="J14" s="34" t="str">
        <x:v>是</x:v>
      </x:c>
      <x:c r="K14" s="24" t="str">
        <x:v>生产单 + 加工前对象/物料需求行</x:v>
      </x:c>
      <x:c r="L14" s="34" t="str">
        <x:v>否</x:v>
      </x:c>
      <x:c r="M14" s="34" t="str">
        <x:v>按需求明细生成下游单据</x:v>
      </x:c>
      <x:c r="N14" s="34" t="str">
        <x:v>生产单 + 加工前对象（精确分组键待确认）</x:v>
      </x:c>
      <x:c r="O14" s="34" t="str">
        <x:v>是</x:v>
      </x:c>
      <x:c r="P14" s="24" t="str">
        <x:v>对应准备工艺承接工厂（尚未统一工厂主数据口径）</x:v>
      </x:c>
      <x:c r="Q14" s="24" t="str">
        <x:v>缩水准备任务整体分配；按需求明细生成缩水加工单。</x:v>
      </x:c>
      <x:c r="R14" s="24" t="str">
        <x:v>src/data/fcs/process-craft-dict.ts</x:v>
      </x:c>
      <x:c r="S14" s="34" t="str">
        <x:v>代码冲突</x:v>
      </x:c>
      <x:c r="T14" s="24" t="str">
        <x:v>目标口径已确认，但当前代码将该准备工艺设为inactive且不能生成加工单。</x:v>
      </x:c>
    </x:row>
    <x:row r="15" ht="64" customHeight="1">
      <x:c r="A15" s="34" t="str">
        <x:v>M-011</x:v>
      </x:c>
      <x:c r="B15" s="24" t="str">
        <x:v>PREP 准备阶段</x:v>
      </x:c>
      <x:c r="C15" s="24" t="str">
        <x:v>生产准备工艺</x:v>
      </x:c>
      <x:c r="D15" s="24" t="str">
        <x:v>缩水准备任务</x:v>
      </x:c>
      <x:c r="E15" s="24" t="str">
        <x:v>缩水加工单</x:v>
      </x:c>
      <x:c r="F15" s="34" t="str">
        <x:v>生产单补料</x:v>
      </x:c>
      <x:c r="G15" s="34" t="str">
        <x:v>条件适用</x:v>
      </x:c>
      <x:c r="H15" s="34" t="str">
        <x:v>整个任务</x:v>
      </x:c>
      <x:c r="I15" s="34" t="str">
        <x:v>否</x:v>
      </x:c>
      <x:c r="J15" s="34" t="str">
        <x:v>是</x:v>
      </x:c>
      <x:c r="K15" s="24" t="str">
        <x:v>补料来源 + 加工前对象/物料需求行</x:v>
      </x:c>
      <x:c r="L15" s="34" t="str">
        <x:v>否</x:v>
      </x:c>
      <x:c r="M15" s="34" t="str">
        <x:v>按需求明细生成下游单据</x:v>
      </x:c>
      <x:c r="N15" s="34" t="str">
        <x:v>生产单补料 + 加工前对象（精确分组键待确认）</x:v>
      </x:c>
      <x:c r="O15" s="34" t="str">
        <x:v>是</x:v>
      </x:c>
      <x:c r="P15" s="24" t="str">
        <x:v>对应准备工艺承接工厂（尚未统一工厂主数据口径）</x:v>
      </x:c>
      <x:c r="Q15" s="24" t="str">
        <x:v>补料仍需缩水时整任务分配，并按明细生成缩水加工单。</x:v>
      </x:c>
      <x:c r="R15" s="24" t="str">
        <x:v>src/data/fcs/process-craft-dict.ts</x:v>
      </x:c>
      <x:c r="S15" s="34" t="str">
        <x:v>代码冲突</x:v>
      </x:c>
      <x:c r="T15" s="24" t="str">
        <x:v>目标口径已确认；当前代码既未开放加工单，也未建立生产单补料来源。</x:v>
      </x:c>
    </x:row>
    <x:row r="16" ht="64" customHeight="1">
      <x:c r="A16" s="34" t="str">
        <x:v>M-012</x:v>
      </x:c>
      <x:c r="B16" s="24" t="str">
        <x:v>PREP 准备阶段</x:v>
      </x:c>
      <x:c r="C16" s="24" t="str">
        <x:v>生产准备工艺</x:v>
      </x:c>
      <x:c r="D16" s="24" t="str">
        <x:v>缩水准备任务</x:v>
      </x:c>
      <x:c r="E16" s="24" t="str">
        <x:v>缩水加工单</x:v>
      </x:c>
      <x:c r="F16" s="34" t="str">
        <x:v>备货采购（采购）</x:v>
      </x:c>
      <x:c r="G16" s="34" t="str">
        <x:v>待确认</x:v>
      </x:c>
      <x:c r="H16" s="34" t="str">
        <x:v>如适用则整个任务</x:v>
      </x:c>
      <x:c r="I16" s="34" t="str">
        <x:v>否</x:v>
      </x:c>
      <x:c r="J16" s="34" t="str">
        <x:v>是</x:v>
      </x:c>
      <x:c r="K16" s="24" t="str">
        <x:v>采购行 + 加工前对象/物料需求行</x:v>
      </x:c>
      <x:c r="L16" s="34" t="str">
        <x:v>否</x:v>
      </x:c>
      <x:c r="M16" s="34" t="str">
        <x:v>待确认</x:v>
      </x:c>
      <x:c r="N16" s="34" t="str">
        <x:v>待确认</x:v>
      </x:c>
      <x:c r="O16" s="34" t="str">
        <x:v>待确认</x:v>
      </x:c>
      <x:c r="P16" s="24" t="str">
        <x:v>对应准备工艺承接工厂（尚未统一工厂主数据口径）</x:v>
      </x:c>
      <x:c r="Q16" s="24" t="str">
        <x:v>待确认该来源是否产生此类任务/加工单</x:v>
      </x:c>
      <x:c r="R16" s="24" t="str">
        <x:v>src/data/fcs/process-craft-dict.ts</x:v>
      </x:c>
      <x:c r="S16" s="34" t="str">
        <x:v>待确认</x:v>
      </x:c>
      <x:c r="T16" s="24" t="str">
        <x:v>备货采购是否直接触发缩水加工单尚未确认；如适用，仍应整任务分配并按明细生成。</x:v>
      </x:c>
    </x:row>
    <x:row r="17" ht="64" customHeight="1">
      <x:c r="A17" s="34" t="str">
        <x:v>M-013</x:v>
      </x:c>
      <x:c r="B17" s="24" t="str">
        <x:v>PREP 准备阶段</x:v>
      </x:c>
      <x:c r="C17" s="24" t="str">
        <x:v>生产准备工艺</x:v>
      </x:c>
      <x:c r="D17" s="24" t="str">
        <x:v>洗水准备任务</x:v>
      </x:c>
      <x:c r="E17" s="24" t="str">
        <x:v>洗水加工单</x:v>
      </x:c>
      <x:c r="F17" s="34" t="str">
        <x:v>生产单</x:v>
      </x:c>
      <x:c r="G17" s="34" t="str">
        <x:v>适用</x:v>
      </x:c>
      <x:c r="H17" s="34" t="str">
        <x:v>整个任务</x:v>
      </x:c>
      <x:c r="I17" s="34" t="str">
        <x:v>否</x:v>
      </x:c>
      <x:c r="J17" s="34" t="str">
        <x:v>是</x:v>
      </x:c>
      <x:c r="K17" s="24" t="str">
        <x:v>生产单 + 加工前对象/物料需求行</x:v>
      </x:c>
      <x:c r="L17" s="34" t="str">
        <x:v>否</x:v>
      </x:c>
      <x:c r="M17" s="34" t="str">
        <x:v>按需求明细生成下游单据</x:v>
      </x:c>
      <x:c r="N17" s="34" t="str">
        <x:v>生产单 + 加工前对象（精确分组键待确认）</x:v>
      </x:c>
      <x:c r="O17" s="34" t="str">
        <x:v>是</x:v>
      </x:c>
      <x:c r="P17" s="24" t="str">
        <x:v>对应准备工艺承接工厂（尚未统一工厂主数据口径）</x:v>
      </x:c>
      <x:c r="Q17" s="24" t="str">
        <x:v>洗水准备任务整体分配；按需求明细生成洗水加工单。</x:v>
      </x:c>
      <x:c r="R17" s="24" t="str">
        <x:v>src/data/fcs/process-craft-dict.ts</x:v>
      </x:c>
      <x:c r="S17" s="34" t="str">
        <x:v>代码冲突</x:v>
      </x:c>
      <x:c r="T17" s="24" t="str">
        <x:v>目标口径已确认，但当前代码将该准备工艺设为inactive且不能生成加工单。</x:v>
      </x:c>
    </x:row>
    <x:row r="18" ht="64" customHeight="1">
      <x:c r="A18" s="34" t="str">
        <x:v>M-014</x:v>
      </x:c>
      <x:c r="B18" s="24" t="str">
        <x:v>PREP 准备阶段</x:v>
      </x:c>
      <x:c r="C18" s="24" t="str">
        <x:v>生产准备工艺</x:v>
      </x:c>
      <x:c r="D18" s="24" t="str">
        <x:v>洗水准备任务</x:v>
      </x:c>
      <x:c r="E18" s="24" t="str">
        <x:v>洗水加工单</x:v>
      </x:c>
      <x:c r="F18" s="34" t="str">
        <x:v>生产单补料</x:v>
      </x:c>
      <x:c r="G18" s="34" t="str">
        <x:v>条件适用</x:v>
      </x:c>
      <x:c r="H18" s="34" t="str">
        <x:v>整个任务</x:v>
      </x:c>
      <x:c r="I18" s="34" t="str">
        <x:v>否</x:v>
      </x:c>
      <x:c r="J18" s="34" t="str">
        <x:v>是</x:v>
      </x:c>
      <x:c r="K18" s="24" t="str">
        <x:v>补料来源 + 加工前对象/物料需求行</x:v>
      </x:c>
      <x:c r="L18" s="34" t="str">
        <x:v>否</x:v>
      </x:c>
      <x:c r="M18" s="34" t="str">
        <x:v>按需求明细生成下游单据</x:v>
      </x:c>
      <x:c r="N18" s="34" t="str">
        <x:v>生产单补料 + 加工前对象（精确分组键待确认）</x:v>
      </x:c>
      <x:c r="O18" s="34" t="str">
        <x:v>是</x:v>
      </x:c>
      <x:c r="P18" s="24" t="str">
        <x:v>对应准备工艺承接工厂（尚未统一工厂主数据口径）</x:v>
      </x:c>
      <x:c r="Q18" s="24" t="str">
        <x:v>补料仍需洗水时整任务分配，并按明细生成洗水加工单。</x:v>
      </x:c>
      <x:c r="R18" s="24" t="str">
        <x:v>src/data/fcs/process-craft-dict.ts</x:v>
      </x:c>
      <x:c r="S18" s="34" t="str">
        <x:v>代码冲突</x:v>
      </x:c>
      <x:c r="T18" s="24" t="str">
        <x:v>目标口径已确认；当前代码既未开放加工单，也未建立生产单补料来源。</x:v>
      </x:c>
    </x:row>
    <x:row r="19" ht="64" customHeight="1">
      <x:c r="A19" s="34" t="str">
        <x:v>M-015</x:v>
      </x:c>
      <x:c r="B19" s="24" t="str">
        <x:v>PREP 准备阶段</x:v>
      </x:c>
      <x:c r="C19" s="24" t="str">
        <x:v>生产准备工艺</x:v>
      </x:c>
      <x:c r="D19" s="24" t="str">
        <x:v>洗水准备任务</x:v>
      </x:c>
      <x:c r="E19" s="24" t="str">
        <x:v>洗水加工单</x:v>
      </x:c>
      <x:c r="F19" s="34" t="str">
        <x:v>备货采购（采购）</x:v>
      </x:c>
      <x:c r="G19" s="34" t="str">
        <x:v>待确认</x:v>
      </x:c>
      <x:c r="H19" s="34" t="str">
        <x:v>如适用则整个任务</x:v>
      </x:c>
      <x:c r="I19" s="34" t="str">
        <x:v>否</x:v>
      </x:c>
      <x:c r="J19" s="34" t="str">
        <x:v>是</x:v>
      </x:c>
      <x:c r="K19" s="24" t="str">
        <x:v>采购行 + 加工前对象/物料需求行</x:v>
      </x:c>
      <x:c r="L19" s="34" t="str">
        <x:v>否</x:v>
      </x:c>
      <x:c r="M19" s="34" t="str">
        <x:v>待确认</x:v>
      </x:c>
      <x:c r="N19" s="34" t="str">
        <x:v>待确认</x:v>
      </x:c>
      <x:c r="O19" s="34" t="str">
        <x:v>待确认</x:v>
      </x:c>
      <x:c r="P19" s="24" t="str">
        <x:v>对应准备工艺承接工厂（尚未统一工厂主数据口径）</x:v>
      </x:c>
      <x:c r="Q19" s="24" t="str">
        <x:v>待确认该来源是否产生此类任务/加工单</x:v>
      </x:c>
      <x:c r="R19" s="24" t="str">
        <x:v>src/data/fcs/process-craft-dict.ts</x:v>
      </x:c>
      <x:c r="S19" s="34" t="str">
        <x:v>待确认</x:v>
      </x:c>
      <x:c r="T19" s="24" t="str">
        <x:v>备货采购是否直接触发洗水加工单尚未确认；如适用，仍应整任务分配并按明细生成。</x:v>
      </x:c>
    </x:row>
    <x:row r="20" ht="64" customHeight="1">
      <x:c r="A20" s="34" t="str">
        <x:v>M-016</x:v>
      </x:c>
      <x:c r="B20" s="24" t="str">
        <x:v>PROD 生产阶段</x:v>
      </x:c>
      <x:c r="C20" s="24" t="str">
        <x:v>裁片</x:v>
      </x:c>
      <x:c r="D20" s="24" t="str">
        <x:v>裁片任务</x:v>
      </x:c>
      <x:c r="E20" s="24" t="str">
        <x:v>裁片单</x:v>
      </x:c>
      <x:c r="F20" s="34" t="str">
        <x:v>生产单</x:v>
      </x:c>
      <x:c r="G20" s="34" t="str">
        <x:v>适用</x:v>
      </x:c>
      <x:c r="H20" s="34" t="str">
        <x:v>整个任务</x:v>
      </x:c>
      <x:c r="I20" s="34" t="str">
        <x:v>否</x:v>
      </x:c>
      <x:c r="J20" s="34" t="str">
        <x:v>是</x:v>
      </x:c>
      <x:c r="K20" s="24" t="str">
        <x:v>物料 + 纸样</x:v>
      </x:c>
      <x:c r="L20" s="34" t="str">
        <x:v>否</x:v>
      </x:c>
      <x:c r="M20" s="34" t="str">
        <x:v>按需求明细生成下游单据</x:v>
      </x:c>
      <x:c r="N20" s="34" t="str">
        <x:v>productionOrderId + materialIdentity + patternIdentity</x:v>
      </x:c>
      <x:c r="O20" s="34" t="str">
        <x:v>是</x:v>
      </x:c>
      <x:c r="P20" s="24" t="str">
        <x:v>裁片任务承接工厂</x:v>
      </x:c>
      <x:c r="Q20" s="24" t="str">
        <x:v>一张裁片任务整体分配给一个工厂；任务下按物料+纸样生成多张裁片单。</x:v>
      </x:c>
      <x:c r="R20" s="24" t="str">
        <x:v>src/domain/cutting-core/types.ts；src/data/fcs/cutting/generated-cut-orders.ts</x:v>
      </x:c>
      <x:c r="S20" s="34" t="str">
        <x:v>已确认</x:v>
      </x:c>
      <x:c r="T20" s="24" t="str"/>
    </x:row>
    <x:row r="21" ht="64" customHeight="1">
      <x:c r="A21" s="34" t="str">
        <x:v>M-017</x:v>
      </x:c>
      <x:c r="B21" s="24" t="str">
        <x:v>PROD 生产阶段</x:v>
      </x:c>
      <x:c r="C21" s="24" t="str">
        <x:v>裁片</x:v>
      </x:c>
      <x:c r="D21" s="24" t="str">
        <x:v>裁片任务</x:v>
      </x:c>
      <x:c r="E21" s="24" t="str">
        <x:v>裁片单</x:v>
      </x:c>
      <x:c r="F21" s="34" t="str">
        <x:v>生产单补料</x:v>
      </x:c>
      <x:c r="G21" s="34" t="str">
        <x:v>条件适用</x:v>
      </x:c>
      <x:c r="H21" s="34" t="str">
        <x:v>整个任务</x:v>
      </x:c>
      <x:c r="I21" s="34" t="str">
        <x:v>否</x:v>
      </x:c>
      <x:c r="J21" s="34" t="str">
        <x:v>是</x:v>
      </x:c>
      <x:c r="K21" s="24" t="str">
        <x:v>补料来源 + 物料 + 纸样</x:v>
      </x:c>
      <x:c r="L21" s="34" t="str">
        <x:v>否</x:v>
      </x:c>
      <x:c r="M21" s="34" t="str">
        <x:v>按需求明细生成下游单据</x:v>
      </x:c>
      <x:c r="N21" s="34" t="str">
        <x:v>生产单补料 + materialIdentity + patternIdentity</x:v>
      </x:c>
      <x:c r="O21" s="34" t="str">
        <x:v>是</x:v>
      </x:c>
      <x:c r="P21" s="24" t="str">
        <x:v>裁片任务承接工厂</x:v>
      </x:c>
      <x:c r="Q21" s="24" t="str">
        <x:v>补料需要重新裁片时，裁片任务整体分配并按物料+纸样生成补充裁片单。</x:v>
      </x:c>
      <x:c r="R21" s="24" t="str">
        <x:v>src/domain/cutting-core/types.ts；src/data/fcs/cutting/generated-cut-orders.ts</x:v>
      </x:c>
      <x:c r="S21" s="34" t="str">
        <x:v>部分确认</x:v>
      </x:c>
      <x:c r="T21" s="24" t="str">
        <x:v>需在实施时确认补充裁片单与原裁片单的版本/关联方式。</x:v>
      </x:c>
    </x:row>
    <x:row r="22" ht="64" customHeight="1">
      <x:c r="A22" s="34" t="str">
        <x:v>M-018</x:v>
      </x:c>
      <x:c r="B22" s="24" t="str">
        <x:v>PROD 生产阶段</x:v>
      </x:c>
      <x:c r="C22" s="24" t="str">
        <x:v>裁片</x:v>
      </x:c>
      <x:c r="D22" s="24" t="str">
        <x:v>裁片任务</x:v>
      </x:c>
      <x:c r="E22" s="24" t="str">
        <x:v>裁片单</x:v>
      </x:c>
      <x:c r="F22" s="34" t="str">
        <x:v>备货采购（采购）</x:v>
      </x:c>
      <x:c r="G22" s="34" t="str">
        <x:v>不适用</x:v>
      </x:c>
      <x:c r="H22" s="34" t="str">
        <x:v>不适用</x:v>
      </x:c>
      <x:c r="I22" s="34" t="str">
        <x:v>不适用</x:v>
      </x:c>
      <x:c r="J22" s="34" t="str">
        <x:v>不适用</x:v>
      </x:c>
      <x:c r="K22" s="24" t="str">
        <x:v>物料 + 纸样</x:v>
      </x:c>
      <x:c r="L22" s="34" t="str">
        <x:v>不适用</x:v>
      </x:c>
      <x:c r="M22" s="34" t="str">
        <x:v>不适用</x:v>
      </x:c>
      <x:c r="N22" s="34" t="str">
        <x:v>不适用</x:v>
      </x:c>
      <x:c r="O22" s="34" t="str">
        <x:v>不适用</x:v>
      </x:c>
      <x:c r="P22" s="24" t="str">
        <x:v>裁片任务承接工厂</x:v>
      </x:c>
      <x:c r="Q22" s="24" t="str">
        <x:v>不适用</x:v>
      </x:c>
      <x:c r="R22" s="24" t="str">
        <x:v>src/domain/cutting-core/types.ts；src/data/fcs/cutting/generated-cut-orders.ts</x:v>
      </x:c>
      <x:c r="S22" s="34" t="str">
        <x:v>已确认</x:v>
      </x:c>
      <x:c r="T22" s="24" t="str">
        <x:v>采购面料本身不直接形成成衣裁片任务；进入生产单后再按生产单来源生成。</x:v>
      </x:c>
    </x:row>
    <x:row r="23" ht="64" customHeight="1">
      <x:c r="A23" s="34" t="str">
        <x:v>M-019</x:v>
      </x:c>
      <x:c r="B23" s="24" t="str">
        <x:v>PROD 生产阶段</x:v>
      </x:c>
      <x:c r="C23" s="24" t="str">
        <x:v>车缝</x:v>
      </x:c>
      <x:c r="D23" s="24" t="str">
        <x:v>独立车缝任务</x:v>
      </x:c>
      <x:c r="E23" s="24" t="str">
        <x:v>无独立加工单（任务即执行载体）</x:v>
      </x:c>
      <x:c r="F23" s="34" t="str">
        <x:v>生产单</x:v>
      </x:c>
      <x:c r="G23" s="34" t="str">
        <x:v>适用</x:v>
      </x:c>
      <x:c r="H23" s="34" t="str">
        <x:v>按明细（完整成衣SKU）</x:v>
      </x:c>
      <x:c r="I23" s="34" t="str">
        <x:v>是</x:v>
      </x:c>
      <x:c r="J23" s="34" t="str">
        <x:v>是</x:v>
      </x:c>
      <x:c r="K23" s="24" t="str">
        <x:v>完整成衣SKU（颜色+尺码+SKU编码）；同一SKU不可拆数量</x:v>
      </x:c>
      <x:c r="L23" s="34" t="str">
        <x:v>是；选中的SKU形成拆分任务</x:v>
      </x:c>
      <x:c r="M23" s="34" t="str">
        <x:v>不另按需求明细生成加工单</x:v>
      </x:c>
      <x:c r="N23" s="34" t="str">
        <x:v>任务拆分键：完整成衣SKU；同一SKU不可拆数量</x:v>
      </x:c>
      <x:c r="O23" s="34" t="str">
        <x:v>拆分任务保留所选SKU明细</x:v>
      </x:c>
      <x:c r="P23" s="24" t="str">
        <x:v>车缝任务承接工厂</x:v>
      </x:c>
      <x:c r="Q23" s="24" t="str">
        <x:v>用户选择一个或多个完整SKU后形成拆分车缝任务；每个拆分任务分配给对应工厂。</x:v>
      </x:c>
      <x:c r="R23" s="24" t="str">
        <x:v>src/data/fcs/runtime-process-tasks.ts；src/data/fcs/task-fulfillment-policy.ts</x:v>
      </x:c>
      <x:c r="S23" s="34" t="str">
        <x:v>已确认</x:v>
      </x:c>
      <x:c r="T23" s="24" t="str"/>
    </x:row>
    <x:row r="24" ht="64" customHeight="1">
      <x:c r="A24" s="34" t="str">
        <x:v>M-020</x:v>
      </x:c>
      <x:c r="B24" s="24" t="str">
        <x:v>PROD 生产阶段</x:v>
      </x:c>
      <x:c r="C24" s="24" t="str">
        <x:v>车缝</x:v>
      </x:c>
      <x:c r="D24" s="24" t="str">
        <x:v>独立车缝任务</x:v>
      </x:c>
      <x:c r="E24" s="24" t="str">
        <x:v>无独立加工单（任务即执行载体）</x:v>
      </x:c>
      <x:c r="F24" s="34" t="str">
        <x:v>生产单补料</x:v>
      </x:c>
      <x:c r="G24" s="34" t="str">
        <x:v>待确认</x:v>
      </x:c>
      <x:c r="H24" s="34" t="str">
        <x:v>如适用则整个任务</x:v>
      </x:c>
      <x:c r="I24" s="34" t="str">
        <x:v>否</x:v>
      </x:c>
      <x:c r="J24" s="34" t="str">
        <x:v>是</x:v>
      </x:c>
      <x:c r="K24" s="24" t="str">
        <x:v>若存在补缝：完整成衣SKU</x:v>
      </x:c>
      <x:c r="L24" s="34" t="str">
        <x:v>否</x:v>
      </x:c>
      <x:c r="M24" s="34" t="str">
        <x:v>待确认</x:v>
      </x:c>
      <x:c r="N24" s="34" t="str">
        <x:v>待确认</x:v>
      </x:c>
      <x:c r="O24" s="34" t="str">
        <x:v>待确认</x:v>
      </x:c>
      <x:c r="P24" s="24" t="str">
        <x:v>车缝任务承接工厂</x:v>
      </x:c>
      <x:c r="Q24" s="24" t="str">
        <x:v>待确认该来源是否产生此类任务/加工单</x:v>
      </x:c>
      <x:c r="R24" s="24" t="str">
        <x:v>src/data/fcs/runtime-process-tasks.ts；src/data/fcs/task-fulfillment-policy.ts</x:v>
      </x:c>
      <x:c r="S24" s="34" t="str">
        <x:v>待确认</x:v>
      </x:c>
      <x:c r="T24" s="24" t="str">
        <x:v>生产单补料是否会产生独立补缝任务尚未确认；当前不应默认新增车缝需求。</x:v>
      </x:c>
    </x:row>
    <x:row r="25" ht="64" customHeight="1">
      <x:c r="A25" s="34" t="str">
        <x:v>M-021</x:v>
      </x:c>
      <x:c r="B25" s="24" t="str">
        <x:v>PROD 生产阶段</x:v>
      </x:c>
      <x:c r="C25" s="24" t="str">
        <x:v>车缝</x:v>
      </x:c>
      <x:c r="D25" s="24" t="str">
        <x:v>独立车缝任务</x:v>
      </x:c>
      <x:c r="E25" s="24" t="str">
        <x:v>无独立加工单（任务即执行载体）</x:v>
      </x:c>
      <x:c r="F25" s="34" t="str">
        <x:v>备货采购（采购）</x:v>
      </x:c>
      <x:c r="G25" s="34" t="str">
        <x:v>不适用</x:v>
      </x:c>
      <x:c r="H25" s="34" t="str">
        <x:v>不适用</x:v>
      </x:c>
      <x:c r="I25" s="34" t="str">
        <x:v>不适用</x:v>
      </x:c>
      <x:c r="J25" s="34" t="str">
        <x:v>不适用</x:v>
      </x:c>
      <x:c r="K25" s="24" t="str">
        <x:v>完整成衣SKU（颜色+尺码+SKU编码）；同一SKU不可拆数量</x:v>
      </x:c>
      <x:c r="L25" s="34" t="str">
        <x:v>不适用</x:v>
      </x:c>
      <x:c r="M25" s="34" t="str">
        <x:v>不适用</x:v>
      </x:c>
      <x:c r="N25" s="34" t="str">
        <x:v>不适用</x:v>
      </x:c>
      <x:c r="O25" s="34" t="str">
        <x:v>不适用</x:v>
      </x:c>
      <x:c r="P25" s="24" t="str">
        <x:v>车缝任务承接工厂</x:v>
      </x:c>
      <x:c r="Q25" s="24" t="str">
        <x:v>不适用</x:v>
      </x:c>
      <x:c r="R25" s="24" t="str">
        <x:v>src/data/fcs/runtime-process-tasks.ts；src/data/fcs/task-fulfillment-policy.ts</x:v>
      </x:c>
      <x:c r="S25" s="34" t="str">
        <x:v>已确认</x:v>
      </x:c>
      <x:c r="T25" s="24" t="str">
        <x:v>采购/备货不直接形成独立车缝任务。</x:v>
      </x:c>
    </x:row>
    <x:row r="26" ht="64" customHeight="1">
      <x:c r="A26" s="34" t="str">
        <x:v>M-022</x:v>
      </x:c>
      <x:c r="B26" s="24" t="str">
        <x:v>PROD/POST 合并</x:v>
      </x:c>
      <x:c r="C26" s="24" t="str">
        <x:v>固定合并任务</x:v>
      </x:c>
      <x:c r="D26" s="24" t="str">
        <x:v>车缝+烫包</x:v>
      </x:c>
      <x:c r="E26" s="24" t="str">
        <x:v>无独立加工单（合并任务即执行载体）</x:v>
      </x:c>
      <x:c r="F26" s="34" t="str">
        <x:v>生产单</x:v>
      </x:c>
      <x:c r="G26" s="34" t="str">
        <x:v>适用</x:v>
      </x:c>
      <x:c r="H26" s="34" t="str">
        <x:v>整个任务</x:v>
      </x:c>
      <x:c r="I26" s="34" t="str">
        <x:v>否</x:v>
      </x:c>
      <x:c r="J26" s="34" t="str">
        <x:v>是</x:v>
      </x:c>
      <x:c r="K26" s="24" t="str">
        <x:v>完整成衣SKU需求明细（只读）</x:v>
      </x:c>
      <x:c r="L26" s="34" t="str">
        <x:v>否</x:v>
      </x:c>
      <x:c r="M26" s="34" t="str">
        <x:v>不另按需求明细生成加工单</x:v>
      </x:c>
      <x:c r="N26" s="34" t="str">
        <x:v>任务本身为执行载体</x:v>
      </x:c>
      <x:c r="O26" s="34" t="str">
        <x:v>任务内保留需求明细</x:v>
      </x:c>
      <x:c r="P26" s="24" t="str">
        <x:v>合并任务承接工厂</x:v>
      </x:c>
      <x:c r="Q26" s="24" t="str">
        <x:v>整张车缝+烫包任务分配给一个工厂；可以查看SKU需求，不允许勾选分配。</x:v>
      </x:c>
      <x:c r="R26" s="24" t="str">
        <x:v>src/data/fcs/merged-production-task.ts；src/data/fcs/task-fulfillment-policy.ts</x:v>
      </x:c>
      <x:c r="S26" s="34" t="str">
        <x:v>代码冲突</x:v>
      </x:c>
      <x:c r="T26" s="24" t="str">
        <x:v>最新业务口径为整任务；当前合并任务定义仍标为SKU。</x:v>
      </x:c>
    </x:row>
    <x:row r="27" ht="64" customHeight="1">
      <x:c r="A27" s="34" t="str">
        <x:v>M-023</x:v>
      </x:c>
      <x:c r="B27" s="24" t="str">
        <x:v>PROD/POST 合并</x:v>
      </x:c>
      <x:c r="C27" s="24" t="str">
        <x:v>固定合并任务</x:v>
      </x:c>
      <x:c r="D27" s="24" t="str">
        <x:v>车缝+烫包</x:v>
      </x:c>
      <x:c r="E27" s="24" t="str">
        <x:v>无独立加工单（合并任务即执行载体）</x:v>
      </x:c>
      <x:c r="F27" s="34" t="str">
        <x:v>生产单补料</x:v>
      </x:c>
      <x:c r="G27" s="34" t="str">
        <x:v>不适用</x:v>
      </x:c>
      <x:c r="H27" s="34" t="str">
        <x:v>不适用</x:v>
      </x:c>
      <x:c r="I27" s="34" t="str">
        <x:v>不适用</x:v>
      </x:c>
      <x:c r="J27" s="34" t="str">
        <x:v>不适用</x:v>
      </x:c>
      <x:c r="K27" s="24" t="str">
        <x:v>完整成衣SKU需求明细（只读）</x:v>
      </x:c>
      <x:c r="L27" s="34" t="str">
        <x:v>不适用</x:v>
      </x:c>
      <x:c r="M27" s="34" t="str">
        <x:v>不适用</x:v>
      </x:c>
      <x:c r="N27" s="34" t="str">
        <x:v>不适用</x:v>
      </x:c>
      <x:c r="O27" s="34" t="str">
        <x:v>不适用</x:v>
      </x:c>
      <x:c r="P27" s="24" t="str">
        <x:v>合并任务承接工厂</x:v>
      </x:c>
      <x:c r="Q27" s="24" t="str">
        <x:v>不适用</x:v>
      </x:c>
      <x:c r="R27" s="24" t="str">
        <x:v>src/data/fcs/merged-production-task.ts；src/data/fcs/task-fulfillment-policy.ts</x:v>
      </x:c>
      <x:c r="S27" s="34" t="str">
        <x:v>待确认</x:v>
      </x:c>
      <x:c r="T27" s="24" t="str">
        <x:v>补料不直接生成新的车缝+烫包合并任务；若存在返工需求需另立规则。</x:v>
      </x:c>
    </x:row>
    <x:row r="28" ht="64" customHeight="1">
      <x:c r="A28" s="34" t="str">
        <x:v>M-024</x:v>
      </x:c>
      <x:c r="B28" s="24" t="str">
        <x:v>PROD/POST 合并</x:v>
      </x:c>
      <x:c r="C28" s="24" t="str">
        <x:v>固定合并任务</x:v>
      </x:c>
      <x:c r="D28" s="24" t="str">
        <x:v>车缝+烫包</x:v>
      </x:c>
      <x:c r="E28" s="24" t="str">
        <x:v>无独立加工单（合并任务即执行载体）</x:v>
      </x:c>
      <x:c r="F28" s="34" t="str">
        <x:v>备货采购（采购）</x:v>
      </x:c>
      <x:c r="G28" s="34" t="str">
        <x:v>不适用</x:v>
      </x:c>
      <x:c r="H28" s="34" t="str">
        <x:v>不适用</x:v>
      </x:c>
      <x:c r="I28" s="34" t="str">
        <x:v>不适用</x:v>
      </x:c>
      <x:c r="J28" s="34" t="str">
        <x:v>不适用</x:v>
      </x:c>
      <x:c r="K28" s="24" t="str">
        <x:v>完整成衣SKU需求明细（只读）</x:v>
      </x:c>
      <x:c r="L28" s="34" t="str">
        <x:v>不适用</x:v>
      </x:c>
      <x:c r="M28" s="34" t="str">
        <x:v>不适用</x:v>
      </x:c>
      <x:c r="N28" s="34" t="str">
        <x:v>不适用</x:v>
      </x:c>
      <x:c r="O28" s="34" t="str">
        <x:v>不适用</x:v>
      </x:c>
      <x:c r="P28" s="24" t="str">
        <x:v>合并任务承接工厂</x:v>
      </x:c>
      <x:c r="Q28" s="24" t="str">
        <x:v>不适用</x:v>
      </x:c>
      <x:c r="R28" s="24" t="str">
        <x:v>src/data/fcs/merged-production-task.ts；src/data/fcs/task-fulfillment-policy.ts</x:v>
      </x:c>
      <x:c r="S28" s="34" t="str">
        <x:v>已确认</x:v>
      </x:c>
      <x:c r="T28" s="24" t="str">
        <x:v>采购/备货不直接形成车缝+烫包合并任务。</x:v>
      </x:c>
    </x:row>
    <x:row r="29" ht="64" customHeight="1">
      <x:c r="A29" s="34" t="str">
        <x:v>M-025</x:v>
      </x:c>
      <x:c r="B29" s="24" t="str">
        <x:v>PROD/POST 合并</x:v>
      </x:c>
      <x:c r="C29" s="24" t="str">
        <x:v>固定合并任务</x:v>
      </x:c>
      <x:c r="D29" s="24" t="str">
        <x:v>裁片+车缝+烫包</x:v>
      </x:c>
      <x:c r="E29" s="24" t="str">
        <x:v>裁片单（是否必须生成待最终确认）</x:v>
      </x:c>
      <x:c r="F29" s="34" t="str">
        <x:v>生产单</x:v>
      </x:c>
      <x:c r="G29" s="34" t="str">
        <x:v>适用</x:v>
      </x:c>
      <x:c r="H29" s="34" t="str">
        <x:v>整个任务</x:v>
      </x:c>
      <x:c r="I29" s="34" t="str">
        <x:v>否</x:v>
      </x:c>
      <x:c r="J29" s="34" t="str">
        <x:v>是</x:v>
      </x:c>
      <x:c r="K29" s="24" t="str">
        <x:v>物料+纸样以及完整成衣SKU需求（只读）</x:v>
      </x:c>
      <x:c r="L29" s="34" t="str">
        <x:v>否</x:v>
      </x:c>
      <x:c r="M29" s="34" t="str">
        <x:v>待确认；当前代码按物料+纸样生成裁片单</x:v>
      </x:c>
      <x:c r="N29" s="34" t="str">
        <x:v>如生成裁片单：productionOrderId + materialIdentity + patternIdentity</x:v>
      </x:c>
      <x:c r="O29" s="34" t="str">
        <x:v>是</x:v>
      </x:c>
      <x:c r="P29" s="24" t="str">
        <x:v>合并任务承接工厂</x:v>
      </x:c>
      <x:c r="Q29" s="24" t="str">
        <x:v>合并任务整体分配；需求明细只读。当前代码可按物料+纸样生成裁片单。</x:v>
      </x:c>
      <x:c r="R29" s="24" t="str">
        <x:v>src/data/fcs/merged-production-task.ts；src/data/fcs/cutting/generated-cut-orders.ts</x:v>
      </x:c>
      <x:c r="S29" s="34" t="str">
        <x:v>部分确认</x:v>
      </x:c>
      <x:c r="T29" s="24" t="str">
        <x:v>任务分配规则已确认；该合并任务是否必须沿用裁片单生成规则仍需产品最终确认。</x:v>
      </x:c>
    </x:row>
    <x:row r="30" ht="64" customHeight="1">
      <x:c r="A30" s="34" t="str">
        <x:v>M-026</x:v>
      </x:c>
      <x:c r="B30" s="24" t="str">
        <x:v>PROD/POST 合并</x:v>
      </x:c>
      <x:c r="C30" s="24" t="str">
        <x:v>固定合并任务</x:v>
      </x:c>
      <x:c r="D30" s="24" t="str">
        <x:v>裁片+车缝+烫包</x:v>
      </x:c>
      <x:c r="E30" s="24" t="str">
        <x:v>裁片单（是否必须生成待最终确认）</x:v>
      </x:c>
      <x:c r="F30" s="34" t="str">
        <x:v>生产单补料</x:v>
      </x:c>
      <x:c r="G30" s="34" t="str">
        <x:v>不适用</x:v>
      </x:c>
      <x:c r="H30" s="34" t="str">
        <x:v>不适用</x:v>
      </x:c>
      <x:c r="I30" s="34" t="str">
        <x:v>不适用</x:v>
      </x:c>
      <x:c r="J30" s="34" t="str">
        <x:v>不适用</x:v>
      </x:c>
      <x:c r="K30" s="24" t="str">
        <x:v>物料+纸样以及完整成衣SKU需求（只读）</x:v>
      </x:c>
      <x:c r="L30" s="34" t="str">
        <x:v>不适用</x:v>
      </x:c>
      <x:c r="M30" s="34" t="str">
        <x:v>不适用</x:v>
      </x:c>
      <x:c r="N30" s="34" t="str">
        <x:v>不适用</x:v>
      </x:c>
      <x:c r="O30" s="34" t="str">
        <x:v>不适用</x:v>
      </x:c>
      <x:c r="P30" s="24" t="str">
        <x:v>合并任务承接工厂</x:v>
      </x:c>
      <x:c r="Q30" s="24" t="str">
        <x:v>不适用</x:v>
      </x:c>
      <x:c r="R30" s="24" t="str">
        <x:v>src/data/fcs/merged-production-task.ts；src/data/fcs/cutting/generated-cut-orders.ts</x:v>
      </x:c>
      <x:c r="S30" s="34" t="str">
        <x:v>待确认</x:v>
      </x:c>
      <x:c r="T30" s="24" t="str">
        <x:v>生产单补料应走独立补料/裁片处理，不默认重建合并任务；具体关联待确认。</x:v>
      </x:c>
    </x:row>
    <x:row r="31" ht="64" customHeight="1">
      <x:c r="A31" s="34" t="str">
        <x:v>M-027</x:v>
      </x:c>
      <x:c r="B31" s="24" t="str">
        <x:v>PROD/POST 合并</x:v>
      </x:c>
      <x:c r="C31" s="24" t="str">
        <x:v>固定合并任务</x:v>
      </x:c>
      <x:c r="D31" s="24" t="str">
        <x:v>裁片+车缝+烫包</x:v>
      </x:c>
      <x:c r="E31" s="24" t="str">
        <x:v>裁片单（是否必须生成待最终确认）</x:v>
      </x:c>
      <x:c r="F31" s="34" t="str">
        <x:v>备货采购（采购）</x:v>
      </x:c>
      <x:c r="G31" s="34" t="str">
        <x:v>不适用</x:v>
      </x:c>
      <x:c r="H31" s="34" t="str">
        <x:v>不适用</x:v>
      </x:c>
      <x:c r="I31" s="34" t="str">
        <x:v>不适用</x:v>
      </x:c>
      <x:c r="J31" s="34" t="str">
        <x:v>不适用</x:v>
      </x:c>
      <x:c r="K31" s="24" t="str">
        <x:v>物料+纸样以及完整成衣SKU需求（只读）</x:v>
      </x:c>
      <x:c r="L31" s="34" t="str">
        <x:v>不适用</x:v>
      </x:c>
      <x:c r="M31" s="34" t="str">
        <x:v>不适用</x:v>
      </x:c>
      <x:c r="N31" s="34" t="str">
        <x:v>不适用</x:v>
      </x:c>
      <x:c r="O31" s="34" t="str">
        <x:v>不适用</x:v>
      </x:c>
      <x:c r="P31" s="24" t="str">
        <x:v>合并任务承接工厂</x:v>
      </x:c>
      <x:c r="Q31" s="24" t="str">
        <x:v>不适用</x:v>
      </x:c>
      <x:c r="R31" s="24" t="str">
        <x:v>src/data/fcs/merged-production-task.ts；src/data/fcs/cutting/generated-cut-orders.ts</x:v>
      </x:c>
      <x:c r="S31" s="34" t="str">
        <x:v>已确认</x:v>
      </x:c>
      <x:c r="T31" s="24" t="str">
        <x:v>采购/备货不直接形成裁片+车缝+烫包合并任务。</x:v>
      </x:c>
    </x:row>
    <x:row r="32" ht="64" customHeight="1">
      <x:c r="A32" s="34" t="str">
        <x:v>M-028</x:v>
      </x:c>
      <x:c r="B32" s="24" t="str">
        <x:v>PROD/POST 整单</x:v>
      </x:c>
      <x:c r="C32" s="24" t="str">
        <x:v>整单任务</x:v>
      </x:c>
      <x:c r="D32" s="24" t="str">
        <x:v>整单任务（KOL/小单等）</x:v>
      </x:c>
      <x:c r="E32" s="24" t="str">
        <x:v>不按需求明细另生成裁片单/加工单</x:v>
      </x:c>
      <x:c r="F32" s="34" t="str">
        <x:v>生产单</x:v>
      </x:c>
      <x:c r="G32" s="34" t="str">
        <x:v>适用</x:v>
      </x:c>
      <x:c r="H32" s="34" t="str">
        <x:v>整个任务</x:v>
      </x:c>
      <x:c r="I32" s="34" t="str">
        <x:v>否</x:v>
      </x:c>
      <x:c r="J32" s="34" t="str">
        <x:v>是</x:v>
      </x:c>
      <x:c r="K32" s="24" t="str">
        <x:v>生产单下全部SKU与工艺需求（只读）</x:v>
      </x:c>
      <x:c r="L32" s="34" t="str">
        <x:v>否</x:v>
      </x:c>
      <x:c r="M32" s="34" t="str">
        <x:v>不另按需求明细生成加工单</x:v>
      </x:c>
      <x:c r="N32" s="34" t="str">
        <x:v>任务本身为执行载体</x:v>
      </x:c>
      <x:c r="O32" s="34" t="str">
        <x:v>任务内保留需求明细</x:v>
      </x:c>
      <x:c r="P32" s="24" t="str">
        <x:v>整单任务承接工厂</x:v>
      </x:c>
      <x:c r="Q32" s="24" t="str">
        <x:v>整张任务一次分配；明细仅用于查看和追溯，不产生分配拆分。</x:v>
      </x:c>
      <x:c r="R32" s="24" t="str">
        <x:v>src/data/fcs/process-tasks.ts；src/data/fcs/kol-goto-special-flow.ts</x:v>
      </x:c>
      <x:c r="S32" s="34" t="str">
        <x:v>已确认</x:v>
      </x:c>
      <x:c r="T32" s="24" t="str">
        <x:v>KOL-GOTO整单任务不进入裁床链路。</x:v>
      </x:c>
    </x:row>
    <x:row r="33" ht="64" customHeight="1">
      <x:c r="A33" s="34" t="str">
        <x:v>M-029</x:v>
      </x:c>
      <x:c r="B33" s="24" t="str">
        <x:v>PROD/POST 整单</x:v>
      </x:c>
      <x:c r="C33" s="24" t="str">
        <x:v>整单任务</x:v>
      </x:c>
      <x:c r="D33" s="24" t="str">
        <x:v>整单任务（KOL/小单等）</x:v>
      </x:c>
      <x:c r="E33" s="24" t="str">
        <x:v>不按需求明细另生成裁片单/加工单</x:v>
      </x:c>
      <x:c r="F33" s="34" t="str">
        <x:v>生产单补料</x:v>
      </x:c>
      <x:c r="G33" s="34" t="str">
        <x:v>待确认</x:v>
      </x:c>
      <x:c r="H33" s="34" t="str">
        <x:v>如适用则整个任务</x:v>
      </x:c>
      <x:c r="I33" s="34" t="str">
        <x:v>否</x:v>
      </x:c>
      <x:c r="J33" s="34" t="str">
        <x:v>是</x:v>
      </x:c>
      <x:c r="K33" s="24" t="str">
        <x:v>补料对象明细</x:v>
      </x:c>
      <x:c r="L33" s="34" t="str">
        <x:v>否</x:v>
      </x:c>
      <x:c r="M33" s="34" t="str">
        <x:v>待确认</x:v>
      </x:c>
      <x:c r="N33" s="34" t="str">
        <x:v>待确认</x:v>
      </x:c>
      <x:c r="O33" s="34" t="str">
        <x:v>待确认</x:v>
      </x:c>
      <x:c r="P33" s="24" t="str">
        <x:v>整单任务承接工厂</x:v>
      </x:c>
      <x:c r="Q33" s="24" t="str">
        <x:v>待确认该来源是否产生此类任务/加工单</x:v>
      </x:c>
      <x:c r="R33" s="24" t="str">
        <x:v>src/data/fcs/process-tasks.ts；src/data/fcs/kol-goto-special-flow.ts</x:v>
      </x:c>
      <x:c r="S33" s="34" t="str">
        <x:v>待确认</x:v>
      </x:c>
      <x:c r="T33" s="24" t="str">
        <x:v>整单任务发生补料时是否建立独立补料单据、以及如何关联原整单任务尚未确认。</x:v>
      </x:c>
    </x:row>
    <x:row r="34" ht="64" customHeight="1">
      <x:c r="A34" s="34" t="str">
        <x:v>M-030</x:v>
      </x:c>
      <x:c r="B34" s="24" t="str">
        <x:v>PROD/POST 整单</x:v>
      </x:c>
      <x:c r="C34" s="24" t="str">
        <x:v>整单任务</x:v>
      </x:c>
      <x:c r="D34" s="24" t="str">
        <x:v>整单任务（KOL/小单等）</x:v>
      </x:c>
      <x:c r="E34" s="24" t="str">
        <x:v>不按需求明细另生成裁片单/加工单</x:v>
      </x:c>
      <x:c r="F34" s="34" t="str">
        <x:v>备货采购（采购）</x:v>
      </x:c>
      <x:c r="G34" s="34" t="str">
        <x:v>不适用</x:v>
      </x:c>
      <x:c r="H34" s="34" t="str">
        <x:v>不适用</x:v>
      </x:c>
      <x:c r="I34" s="34" t="str">
        <x:v>不适用</x:v>
      </x:c>
      <x:c r="J34" s="34" t="str">
        <x:v>不适用</x:v>
      </x:c>
      <x:c r="K34" s="24" t="str">
        <x:v>生产单下全部SKU与工艺需求（只读）</x:v>
      </x:c>
      <x:c r="L34" s="34" t="str">
        <x:v>不适用</x:v>
      </x:c>
      <x:c r="M34" s="34" t="str">
        <x:v>不适用</x:v>
      </x:c>
      <x:c r="N34" s="34" t="str">
        <x:v>不适用</x:v>
      </x:c>
      <x:c r="O34" s="34" t="str">
        <x:v>不适用</x:v>
      </x:c>
      <x:c r="P34" s="24" t="str">
        <x:v>整单任务承接工厂</x:v>
      </x:c>
      <x:c r="Q34" s="24" t="str">
        <x:v>不适用</x:v>
      </x:c>
      <x:c r="R34" s="24" t="str">
        <x:v>src/data/fcs/process-tasks.ts；src/data/fcs/kol-goto-special-flow.ts</x:v>
      </x:c>
      <x:c r="S34" s="34" t="str">
        <x:v>已确认</x:v>
      </x:c>
      <x:c r="T34" s="24" t="str">
        <x:v>采购/备货不直接形成整单生产任务。</x:v>
      </x:c>
    </x:row>
    <x:row r="35" ht="64" customHeight="1">
      <x:c r="A35" s="34" t="str">
        <x:v>M-031</x:v>
      </x:c>
      <x:c r="B35" s="24" t="str">
        <x:v>PROD 生产阶段</x:v>
      </x:c>
      <x:c r="C35" s="24" t="str">
        <x:v>毛织</x:v>
      </x:c>
      <x:c r="D35" s="24" t="str">
        <x:v>整件毛织任务</x:v>
      </x:c>
      <x:c r="E35" s="24" t="str">
        <x:v>毛织加工单</x:v>
      </x:c>
      <x:c r="F35" s="34" t="str">
        <x:v>生产单</x:v>
      </x:c>
      <x:c r="G35" s="34" t="str">
        <x:v>适用</x:v>
      </x:c>
      <x:c r="H35" s="34" t="str">
        <x:v>整个任务</x:v>
      </x:c>
      <x:c r="I35" s="34" t="str">
        <x:v>否</x:v>
      </x:c>
      <x:c r="J35" s="34" t="str">
        <x:v>是</x:v>
      </x:c>
      <x:c r="K35" s="24" t="str">
        <x:v>成衣SKU输出计划行 + 用纱/BOM关联</x:v>
      </x:c>
      <x:c r="L35" s="34" t="str">
        <x:v>否</x:v>
      </x:c>
      <x:c r="M35" s="34" t="str">
        <x:v>按整个任务生成；不按明细拆加工单</x:v>
      </x:c>
      <x:c r="N35" s="34" t="str">
        <x:v>毛织任务ID</x:v>
      </x:c>
      <x:c r="O35" s="34" t="str">
        <x:v>是，单内展示全部明细</x:v>
      </x:c>
      <x:c r="P35" s="24" t="str">
        <x:v>毛织任务承接工厂（当前Mock为自有毛织厂）</x:v>
      </x:c>
      <x:c r="Q35" s="24" t="str">
        <x:v>整件毛织任务整体分配；一张毛织加工单承载全部输出计划明细。</x:v>
      </x:c>
      <x:c r="R35" s="24" t="str">
        <x:v>src/data/fcs/wool-domain/types.ts；src/data/fcs/process-craft-dict.ts</x:v>
      </x:c>
      <x:c r="S35" s="34" t="str">
        <x:v>代码冲突</x:v>
      </x:c>
      <x:c r="T35" s="24" t="str">
        <x:v>整任务口径已确认；当前字典仍将毛织写为SKU/DETAIL分配。</x:v>
      </x:c>
    </x:row>
    <x:row r="36" ht="64" customHeight="1">
      <x:c r="A36" s="34" t="str">
        <x:v>M-032</x:v>
      </x:c>
      <x:c r="B36" s="24" t="str">
        <x:v>PROD 生产阶段</x:v>
      </x:c>
      <x:c r="C36" s="24" t="str">
        <x:v>毛织</x:v>
      </x:c>
      <x:c r="D36" s="24" t="str">
        <x:v>整件毛织任务</x:v>
      </x:c>
      <x:c r="E36" s="24" t="str">
        <x:v>毛织加工单</x:v>
      </x:c>
      <x:c r="F36" s="34" t="str">
        <x:v>生产单补料</x:v>
      </x:c>
      <x:c r="G36" s="34" t="str">
        <x:v>待确认</x:v>
      </x:c>
      <x:c r="H36" s="34" t="str">
        <x:v>如适用则整个任务</x:v>
      </x:c>
      <x:c r="I36" s="34" t="str">
        <x:v>否</x:v>
      </x:c>
      <x:c r="J36" s="34" t="str">
        <x:v>是</x:v>
      </x:c>
      <x:c r="K36" s="24" t="str">
        <x:v>成衣SKU输出计划行 + 用纱/BOM关联</x:v>
      </x:c>
      <x:c r="L36" s="34" t="str">
        <x:v>否</x:v>
      </x:c>
      <x:c r="M36" s="34" t="str">
        <x:v>待确认</x:v>
      </x:c>
      <x:c r="N36" s="34" t="str">
        <x:v>待确认</x:v>
      </x:c>
      <x:c r="O36" s="34" t="str">
        <x:v>待确认</x:v>
      </x:c>
      <x:c r="P36" s="24" t="str">
        <x:v>毛织任务承接工厂（当前Mock为自有毛织厂）</x:v>
      </x:c>
      <x:c r="Q36" s="24" t="str">
        <x:v>待确认该来源是否产生此类任务/加工单</x:v>
      </x:c>
      <x:c r="R36" s="24" t="str">
        <x:v>src/data/fcs/wool-domain/types.ts；src/data/fcs/process-craft-dict.ts</x:v>
      </x:c>
      <x:c r="S36" s="34" t="str">
        <x:v>待确认</x:v>
      </x:c>
      <x:c r="T36" s="24" t="str">
        <x:v>生产单补料是否重开整件毛织任务/毛织加工单尚未确认。</x:v>
      </x:c>
    </x:row>
    <x:row r="37" ht="64" customHeight="1">
      <x:c r="A37" s="34" t="str">
        <x:v>M-033</x:v>
      </x:c>
      <x:c r="B37" s="24" t="str">
        <x:v>PROD 生产阶段</x:v>
      </x:c>
      <x:c r="C37" s="24" t="str">
        <x:v>毛织</x:v>
      </x:c>
      <x:c r="D37" s="24" t="str">
        <x:v>整件毛织任务</x:v>
      </x:c>
      <x:c r="E37" s="24" t="str">
        <x:v>毛织加工单</x:v>
      </x:c>
      <x:c r="F37" s="34" t="str">
        <x:v>备货采购（采购）</x:v>
      </x:c>
      <x:c r="G37" s="34" t="str">
        <x:v>不适用</x:v>
      </x:c>
      <x:c r="H37" s="34" t="str">
        <x:v>不适用</x:v>
      </x:c>
      <x:c r="I37" s="34" t="str">
        <x:v>不适用</x:v>
      </x:c>
      <x:c r="J37" s="34" t="str">
        <x:v>不适用</x:v>
      </x:c>
      <x:c r="K37" s="24" t="str">
        <x:v>成衣SKU输出计划行 + 用纱/BOM关联</x:v>
      </x:c>
      <x:c r="L37" s="34" t="str">
        <x:v>不适用</x:v>
      </x:c>
      <x:c r="M37" s="34" t="str">
        <x:v>不适用</x:v>
      </x:c>
      <x:c r="N37" s="34" t="str">
        <x:v>不适用</x:v>
      </x:c>
      <x:c r="O37" s="34" t="str">
        <x:v>不适用</x:v>
      </x:c>
      <x:c r="P37" s="24" t="str">
        <x:v>毛织任务承接工厂（当前Mock为自有毛织厂）</x:v>
      </x:c>
      <x:c r="Q37" s="24" t="str">
        <x:v>不适用</x:v>
      </x:c>
      <x:c r="R37" s="24" t="str">
        <x:v>src/data/fcs/wool-domain/types.ts；src/data/fcs/process-craft-dict.ts</x:v>
      </x:c>
      <x:c r="S37" s="34" t="str">
        <x:v>已确认</x:v>
      </x:c>
      <x:c r="T37" s="24" t="str">
        <x:v>用纱采购是毛织任务的上游供料，不直接形成毛织生产任务。</x:v>
      </x:c>
    </x:row>
    <x:row r="38" ht="64" customHeight="1">
      <x:c r="A38" s="34" t="str">
        <x:v>M-034</x:v>
      </x:c>
      <x:c r="B38" s="24" t="str">
        <x:v>PROD 生产阶段</x:v>
      </x:c>
      <x:c r="C38" s="24" t="str">
        <x:v>毛织</x:v>
      </x:c>
      <x:c r="D38" s="24" t="str">
        <x:v>部位毛织任务</x:v>
      </x:c>
      <x:c r="E38" s="24" t="str">
        <x:v>毛织加工单</x:v>
      </x:c>
      <x:c r="F38" s="34" t="str">
        <x:v>生产单</x:v>
      </x:c>
      <x:c r="G38" s="34" t="str">
        <x:v>适用</x:v>
      </x:c>
      <x:c r="H38" s="34" t="str">
        <x:v>整个任务</x:v>
      </x:c>
      <x:c r="I38" s="34" t="str">
        <x:v>否</x:v>
      </x:c>
      <x:c r="J38" s="34" t="str">
        <x:v>是</x:v>
      </x:c>
      <x:c r="K38" s="24" t="str">
        <x:v>成衣SKU + 毛织部位 + 用纱/BOM关联</x:v>
      </x:c>
      <x:c r="L38" s="34" t="str">
        <x:v>否</x:v>
      </x:c>
      <x:c r="M38" s="34" t="str">
        <x:v>按整个任务生成；不按明细拆加工单</x:v>
      </x:c>
      <x:c r="N38" s="34" t="str">
        <x:v>毛织任务ID</x:v>
      </x:c>
      <x:c r="O38" s="34" t="str">
        <x:v>是，单内展示全部明细</x:v>
      </x:c>
      <x:c r="P38" s="24" t="str">
        <x:v>毛织任务承接工厂（当前Mock为自有毛织厂）</x:v>
      </x:c>
      <x:c r="Q38" s="24" t="str">
        <x:v>部位毛织任务整体分配；一张毛织加工单承载全部输出计划明细。</x:v>
      </x:c>
      <x:c r="R38" s="24" t="str">
        <x:v>src/data/fcs/wool-domain/types.ts；src/data/fcs/process-craft-dict.ts</x:v>
      </x:c>
      <x:c r="S38" s="34" t="str">
        <x:v>代码冲突</x:v>
      </x:c>
      <x:c r="T38" s="24" t="str">
        <x:v>整任务口径已确认；当前字典仍将毛织写为SKU/DETAIL分配。</x:v>
      </x:c>
    </x:row>
    <x:row r="39" ht="64" customHeight="1">
      <x:c r="A39" s="34" t="str">
        <x:v>M-035</x:v>
      </x:c>
      <x:c r="B39" s="24" t="str">
        <x:v>PROD 生产阶段</x:v>
      </x:c>
      <x:c r="C39" s="24" t="str">
        <x:v>毛织</x:v>
      </x:c>
      <x:c r="D39" s="24" t="str">
        <x:v>部位毛织任务</x:v>
      </x:c>
      <x:c r="E39" s="24" t="str">
        <x:v>毛织加工单</x:v>
      </x:c>
      <x:c r="F39" s="34" t="str">
        <x:v>生产单补料</x:v>
      </x:c>
      <x:c r="G39" s="34" t="str">
        <x:v>待确认</x:v>
      </x:c>
      <x:c r="H39" s="34" t="str">
        <x:v>如适用则整个任务</x:v>
      </x:c>
      <x:c r="I39" s="34" t="str">
        <x:v>否</x:v>
      </x:c>
      <x:c r="J39" s="34" t="str">
        <x:v>是</x:v>
      </x:c>
      <x:c r="K39" s="24" t="str">
        <x:v>成衣SKU + 毛织部位 + 用纱/BOM关联</x:v>
      </x:c>
      <x:c r="L39" s="34" t="str">
        <x:v>否</x:v>
      </x:c>
      <x:c r="M39" s="34" t="str">
        <x:v>待确认</x:v>
      </x:c>
      <x:c r="N39" s="34" t="str">
        <x:v>待确认</x:v>
      </x:c>
      <x:c r="O39" s="34" t="str">
        <x:v>待确认</x:v>
      </x:c>
      <x:c r="P39" s="24" t="str">
        <x:v>毛织任务承接工厂（当前Mock为自有毛织厂）</x:v>
      </x:c>
      <x:c r="Q39" s="24" t="str">
        <x:v>待确认该来源是否产生此类任务/加工单</x:v>
      </x:c>
      <x:c r="R39" s="24" t="str">
        <x:v>src/data/fcs/wool-domain/types.ts；src/data/fcs/process-craft-dict.ts</x:v>
      </x:c>
      <x:c r="S39" s="34" t="str">
        <x:v>待确认</x:v>
      </x:c>
      <x:c r="T39" s="24" t="str">
        <x:v>生产单补料是否重开部位毛织任务/毛织加工单尚未确认。</x:v>
      </x:c>
    </x:row>
    <x:row r="40" ht="64" customHeight="1">
      <x:c r="A40" s="34" t="str">
        <x:v>M-036</x:v>
      </x:c>
      <x:c r="B40" s="24" t="str">
        <x:v>PROD 生产阶段</x:v>
      </x:c>
      <x:c r="C40" s="24" t="str">
        <x:v>毛织</x:v>
      </x:c>
      <x:c r="D40" s="24" t="str">
        <x:v>部位毛织任务</x:v>
      </x:c>
      <x:c r="E40" s="24" t="str">
        <x:v>毛织加工单</x:v>
      </x:c>
      <x:c r="F40" s="34" t="str">
        <x:v>备货采购（采购）</x:v>
      </x:c>
      <x:c r="G40" s="34" t="str">
        <x:v>不适用</x:v>
      </x:c>
      <x:c r="H40" s="34" t="str">
        <x:v>不适用</x:v>
      </x:c>
      <x:c r="I40" s="34" t="str">
        <x:v>不适用</x:v>
      </x:c>
      <x:c r="J40" s="34" t="str">
        <x:v>不适用</x:v>
      </x:c>
      <x:c r="K40" s="24" t="str">
        <x:v>成衣SKU + 毛织部位 + 用纱/BOM关联</x:v>
      </x:c>
      <x:c r="L40" s="34" t="str">
        <x:v>不适用</x:v>
      </x:c>
      <x:c r="M40" s="34" t="str">
        <x:v>不适用</x:v>
      </x:c>
      <x:c r="N40" s="34" t="str">
        <x:v>不适用</x:v>
      </x:c>
      <x:c r="O40" s="34" t="str">
        <x:v>不适用</x:v>
      </x:c>
      <x:c r="P40" s="24" t="str">
        <x:v>毛织任务承接工厂（当前Mock为自有毛织厂）</x:v>
      </x:c>
      <x:c r="Q40" s="24" t="str">
        <x:v>不适用</x:v>
      </x:c>
      <x:c r="R40" s="24" t="str">
        <x:v>src/data/fcs/wool-domain/types.ts；src/data/fcs/process-craft-dict.ts</x:v>
      </x:c>
      <x:c r="S40" s="34" t="str">
        <x:v>已确认</x:v>
      </x:c>
      <x:c r="T40" s="24" t="str">
        <x:v>用纱采购是毛织任务的上游供料，不直接形成毛织生产任务。</x:v>
      </x:c>
    </x:row>
    <x:row r="41" ht="64" customHeight="1">
      <x:c r="A41" s="34" t="str">
        <x:v>M-037</x:v>
      </x:c>
      <x:c r="B41" s="24" t="str">
        <x:v>PROD 生产阶段</x:v>
      </x:c>
      <x:c r="C41" s="24" t="str">
        <x:v>辅助工艺</x:v>
      </x:c>
      <x:c r="D41" s="24" t="str">
        <x:v>绣花任务</x:v>
      </x:c>
      <x:c r="E41" s="24" t="str">
        <x:v>绣花加工单</x:v>
      </x:c>
      <x:c r="F41" s="34" t="str">
        <x:v>生产单</x:v>
      </x:c>
      <x:c r="G41" s="34" t="str">
        <x:v>适用</x:v>
      </x:c>
      <x:c r="H41" s="34" t="str">
        <x:v>整个任务</x:v>
      </x:c>
      <x:c r="I41" s="34" t="str">
        <x:v>否</x:v>
      </x:c>
      <x:c r="J41" s="34" t="str">
        <x:v>是</x:v>
      </x:c>
      <x:c r="K41" s="24" t="str">
        <x:v>纸样/裁片部位 + 颜色/尺码 + 计划片数 + 菲票范围</x:v>
      </x:c>
      <x:c r="L41" s="34" t="str">
        <x:v>否</x:v>
      </x:c>
      <x:c r="M41" s="34" t="str">
        <x:v>按整个任务生成；不按明细拆加工单</x:v>
      </x:c>
      <x:c r="N41" s="34" t="str">
        <x:v>生产单 + 工艺 + 作用对象（加工单内聚合全部需求行）</x:v>
      </x:c>
      <x:c r="O41" s="34" t="str">
        <x:v>是，单内展示全部明细</x:v>
      </x:c>
      <x:c r="P41" s="24" t="str">
        <x:v>APF - 辅料工艺</x:v>
      </x:c>
      <x:c r="Q41" s="24" t="str">
        <x:v>整张绣花任务分配给APF - 辅料工艺；建立一张主加工单并在单内展示该任务全部明细。</x:v>
      </x:c>
      <x:c r="R41" s="24" t="str">
        <x:v>src/data/fcs/special-craft-task-generation.ts；src/data/fcs/special-craft-task-orders.ts</x:v>
      </x:c>
      <x:c r="S41" s="34" t="str">
        <x:v>已确认</x:v>
      </x:c>
      <x:c r="T41" s="24" t="str"/>
    </x:row>
    <x:row r="42" ht="64" customHeight="1">
      <x:c r="A42" s="34" t="str">
        <x:v>M-038</x:v>
      </x:c>
      <x:c r="B42" s="24" t="str">
        <x:v>PROD 生产阶段</x:v>
      </x:c>
      <x:c r="C42" s="24" t="str">
        <x:v>辅助工艺</x:v>
      </x:c>
      <x:c r="D42" s="24" t="str">
        <x:v>绣花任务</x:v>
      </x:c>
      <x:c r="E42" s="24" t="str">
        <x:v>绣花加工单</x:v>
      </x:c>
      <x:c r="F42" s="34" t="str">
        <x:v>生产单补料</x:v>
      </x:c>
      <x:c r="G42" s="34" t="str">
        <x:v>适用</x:v>
      </x:c>
      <x:c r="H42" s="34" t="str">
        <x:v>整个任务</x:v>
      </x:c>
      <x:c r="I42" s="34" t="str">
        <x:v>否</x:v>
      </x:c>
      <x:c r="J42" s="34" t="str">
        <x:v>是</x:v>
      </x:c>
      <x:c r="K42" s="24" t="str">
        <x:v>生产单补料来源 + 纸样/裁片部位 + 颜色/尺码 + 计划片数 + 菲票范围</x:v>
      </x:c>
      <x:c r="L42" s="34" t="str">
        <x:v>否</x:v>
      </x:c>
      <x:c r="M42" s="34" t="str">
        <x:v>按整个任务生成；不按明细拆加工单</x:v>
      </x:c>
      <x:c r="N42" s="34" t="str">
        <x:v>生产单补料任务 + 工艺 + 作用对象</x:v>
      </x:c>
      <x:c r="O42" s="34" t="str">
        <x:v>是，单内展示全部明细</x:v>
      </x:c>
      <x:c r="P42" s="24" t="str">
        <x:v>APF - 辅料工艺</x:v>
      </x:c>
      <x:c r="Q42" s="24" t="str">
        <x:v>补料形成的绣花任务整体分配；加工单按任务建立并展示全部补料明细。</x:v>
      </x:c>
      <x:c r="R42" s="24" t="str">
        <x:v>src/data/fcs/special-craft-task-generation.ts；src/data/fcs/special-craft-task-orders.ts</x:v>
      </x:c>
      <x:c r="S42" s="34" t="str">
        <x:v>代码冲突</x:v>
      </x:c>
      <x:c r="T42" s="24" t="str">
        <x:v>业务口径已确认；当前SpecialCraftTaskGenerationSource仅支持PRODUCTION_ORDER。</x:v>
      </x:c>
    </x:row>
    <x:row r="43" ht="64" customHeight="1">
      <x:c r="A43" s="34" t="str">
        <x:v>M-039</x:v>
      </x:c>
      <x:c r="B43" s="24" t="str">
        <x:v>PROD 生产阶段</x:v>
      </x:c>
      <x:c r="C43" s="24" t="str">
        <x:v>辅助工艺</x:v>
      </x:c>
      <x:c r="D43" s="24" t="str">
        <x:v>绣花任务</x:v>
      </x:c>
      <x:c r="E43" s="24" t="str">
        <x:v>绣花加工单</x:v>
      </x:c>
      <x:c r="F43" s="34" t="str">
        <x:v>备货采购（采购）</x:v>
      </x:c>
      <x:c r="G43" s="34" t="str">
        <x:v>待确认</x:v>
      </x:c>
      <x:c r="H43" s="34" t="str">
        <x:v>如适用则整个任务</x:v>
      </x:c>
      <x:c r="I43" s="34" t="str">
        <x:v>否</x:v>
      </x:c>
      <x:c r="J43" s="34" t="str">
        <x:v>是</x:v>
      </x:c>
      <x:c r="K43" s="24" t="str">
        <x:v>采购来源 + 纸样/裁片部位 + 颜色/尺码 + 计划片数 + 菲票范围</x:v>
      </x:c>
      <x:c r="L43" s="34" t="str">
        <x:v>否</x:v>
      </x:c>
      <x:c r="M43" s="34" t="str">
        <x:v>待确认</x:v>
      </x:c>
      <x:c r="N43" s="34" t="str">
        <x:v>待确认</x:v>
      </x:c>
      <x:c r="O43" s="34" t="str">
        <x:v>待确认</x:v>
      </x:c>
      <x:c r="P43" s="24" t="str">
        <x:v>APF - 辅料工艺</x:v>
      </x:c>
      <x:c r="Q43" s="24" t="str">
        <x:v>待确认该来源是否产生此类任务/加工单</x:v>
      </x:c>
      <x:c r="R43" s="24" t="str">
        <x:v>src/data/fcs/special-craft-task-generation.ts；src/data/fcs/special-craft-task-orders.ts</x:v>
      </x:c>
      <x:c r="S43" s="34" t="str">
        <x:v>待确认</x:v>
      </x:c>
      <x:c r="T43" s="24" t="str">
        <x:v>备货采购是否直接触发绣花任务/加工单尚未确认；不得从生产单规则自动外推。</x:v>
      </x:c>
    </x:row>
    <x:row r="44" ht="64" customHeight="1">
      <x:c r="A44" s="34" t="str">
        <x:v>M-040</x:v>
      </x:c>
      <x:c r="B44" s="24" t="str">
        <x:v>PROD 生产阶段</x:v>
      </x:c>
      <x:c r="C44" s="24" t="str">
        <x:v>辅助工艺</x:v>
      </x:c>
      <x:c r="D44" s="24" t="str">
        <x:v>打条任务</x:v>
      </x:c>
      <x:c r="E44" s="24" t="str">
        <x:v>打条加工单</x:v>
      </x:c>
      <x:c r="F44" s="34" t="str">
        <x:v>生产单</x:v>
      </x:c>
      <x:c r="G44" s="34" t="str">
        <x:v>适用</x:v>
      </x:c>
      <x:c r="H44" s="34" t="str">
        <x:v>整个任务</x:v>
      </x:c>
      <x:c r="I44" s="34" t="str">
        <x:v>否</x:v>
      </x:c>
      <x:c r="J44" s="34" t="str">
        <x:v>是</x:v>
      </x:c>
      <x:c r="K44" s="24" t="str">
        <x:v>纸样/裁片部位 + 颜色/尺码 + 计划片数 + 菲票范围</x:v>
      </x:c>
      <x:c r="L44" s="34" t="str">
        <x:v>否</x:v>
      </x:c>
      <x:c r="M44" s="34" t="str">
        <x:v>按整个任务生成；不按明细拆加工单</x:v>
      </x:c>
      <x:c r="N44" s="34" t="str">
        <x:v>生产单 + 工艺 + 作用对象（加工单内聚合全部需求行）</x:v>
      </x:c>
      <x:c r="O44" s="34" t="str">
        <x:v>是，单内展示全部明细</x:v>
      </x:c>
      <x:c r="P44" s="24" t="str">
        <x:v>APF - 辅料工艺</x:v>
      </x:c>
      <x:c r="Q44" s="24" t="str">
        <x:v>整张打条任务分配给APF - 辅料工艺；建立一张主加工单并在单内展示该任务全部明细。</x:v>
      </x:c>
      <x:c r="R44" s="24" t="str">
        <x:v>src/data/fcs/special-craft-task-generation.ts；src/data/fcs/special-craft-task-orders.ts</x:v>
      </x:c>
      <x:c r="S44" s="34" t="str">
        <x:v>已确认</x:v>
      </x:c>
      <x:c r="T44" s="24" t="str"/>
    </x:row>
    <x:row r="45" ht="64" customHeight="1">
      <x:c r="A45" s="34" t="str">
        <x:v>M-041</x:v>
      </x:c>
      <x:c r="B45" s="24" t="str">
        <x:v>PROD 生产阶段</x:v>
      </x:c>
      <x:c r="C45" s="24" t="str">
        <x:v>辅助工艺</x:v>
      </x:c>
      <x:c r="D45" s="24" t="str">
        <x:v>打条任务</x:v>
      </x:c>
      <x:c r="E45" s="24" t="str">
        <x:v>打条加工单</x:v>
      </x:c>
      <x:c r="F45" s="34" t="str">
        <x:v>生产单补料</x:v>
      </x:c>
      <x:c r="G45" s="34" t="str">
        <x:v>适用</x:v>
      </x:c>
      <x:c r="H45" s="34" t="str">
        <x:v>整个任务</x:v>
      </x:c>
      <x:c r="I45" s="34" t="str">
        <x:v>否</x:v>
      </x:c>
      <x:c r="J45" s="34" t="str">
        <x:v>是</x:v>
      </x:c>
      <x:c r="K45" s="24" t="str">
        <x:v>生产单补料来源 + 纸样/裁片部位 + 颜色/尺码 + 计划片数 + 菲票范围</x:v>
      </x:c>
      <x:c r="L45" s="34" t="str">
        <x:v>否</x:v>
      </x:c>
      <x:c r="M45" s="34" t="str">
        <x:v>按整个任务生成；不按明细拆加工单</x:v>
      </x:c>
      <x:c r="N45" s="34" t="str">
        <x:v>生产单补料任务 + 工艺 + 作用对象</x:v>
      </x:c>
      <x:c r="O45" s="34" t="str">
        <x:v>是，单内展示全部明细</x:v>
      </x:c>
      <x:c r="P45" s="24" t="str">
        <x:v>APF - 辅料工艺</x:v>
      </x:c>
      <x:c r="Q45" s="24" t="str">
        <x:v>补料形成的打条任务整体分配；加工单按任务建立并展示全部补料明细。</x:v>
      </x:c>
      <x:c r="R45" s="24" t="str">
        <x:v>src/data/fcs/special-craft-task-generation.ts；src/data/fcs/special-craft-task-orders.ts</x:v>
      </x:c>
      <x:c r="S45" s="34" t="str">
        <x:v>代码冲突</x:v>
      </x:c>
      <x:c r="T45" s="24" t="str">
        <x:v>业务口径已确认；当前SpecialCraftTaskGenerationSource仅支持PRODUCTION_ORDER。</x:v>
      </x:c>
    </x:row>
    <x:row r="46" ht="64" customHeight="1">
      <x:c r="A46" s="34" t="str">
        <x:v>M-042</x:v>
      </x:c>
      <x:c r="B46" s="24" t="str">
        <x:v>PROD 生产阶段</x:v>
      </x:c>
      <x:c r="C46" s="24" t="str">
        <x:v>辅助工艺</x:v>
      </x:c>
      <x:c r="D46" s="24" t="str">
        <x:v>打条任务</x:v>
      </x:c>
      <x:c r="E46" s="24" t="str">
        <x:v>打条加工单</x:v>
      </x:c>
      <x:c r="F46" s="34" t="str">
        <x:v>备货采购（采购）</x:v>
      </x:c>
      <x:c r="G46" s="34" t="str">
        <x:v>待确认</x:v>
      </x:c>
      <x:c r="H46" s="34" t="str">
        <x:v>如适用则整个任务</x:v>
      </x:c>
      <x:c r="I46" s="34" t="str">
        <x:v>否</x:v>
      </x:c>
      <x:c r="J46" s="34" t="str">
        <x:v>是</x:v>
      </x:c>
      <x:c r="K46" s="24" t="str">
        <x:v>采购来源 + 纸样/裁片部位 + 颜色/尺码 + 计划片数 + 菲票范围</x:v>
      </x:c>
      <x:c r="L46" s="34" t="str">
        <x:v>否</x:v>
      </x:c>
      <x:c r="M46" s="34" t="str">
        <x:v>待确认</x:v>
      </x:c>
      <x:c r="N46" s="34" t="str">
        <x:v>待确认</x:v>
      </x:c>
      <x:c r="O46" s="34" t="str">
        <x:v>待确认</x:v>
      </x:c>
      <x:c r="P46" s="24" t="str">
        <x:v>APF - 辅料工艺</x:v>
      </x:c>
      <x:c r="Q46" s="24" t="str">
        <x:v>待确认该来源是否产生此类任务/加工单</x:v>
      </x:c>
      <x:c r="R46" s="24" t="str">
        <x:v>src/data/fcs/special-craft-task-generation.ts；src/data/fcs/special-craft-task-orders.ts</x:v>
      </x:c>
      <x:c r="S46" s="34" t="str">
        <x:v>待确认</x:v>
      </x:c>
      <x:c r="T46" s="24" t="str">
        <x:v>备货采购是否直接触发打条任务/加工单尚未确认；不得从生产单规则自动外推。</x:v>
      </x:c>
    </x:row>
    <x:row r="47" ht="64" customHeight="1">
      <x:c r="A47" s="34" t="str">
        <x:v>M-043</x:v>
      </x:c>
      <x:c r="B47" s="24" t="str">
        <x:v>PROD 生产阶段</x:v>
      </x:c>
      <x:c r="C47" s="24" t="str">
        <x:v>辅助工艺</x:v>
      </x:c>
      <x:c r="D47" s="24" t="str">
        <x:v>压褶任务</x:v>
      </x:c>
      <x:c r="E47" s="24" t="str">
        <x:v>压褶加工单</x:v>
      </x:c>
      <x:c r="F47" s="34" t="str">
        <x:v>生产单</x:v>
      </x:c>
      <x:c r="G47" s="34" t="str">
        <x:v>适用</x:v>
      </x:c>
      <x:c r="H47" s="34" t="str">
        <x:v>整个任务</x:v>
      </x:c>
      <x:c r="I47" s="34" t="str">
        <x:v>否</x:v>
      </x:c>
      <x:c r="J47" s="34" t="str">
        <x:v>是</x:v>
      </x:c>
      <x:c r="K47" s="24" t="str">
        <x:v>纸样/裁片部位 + 颜色/尺码 + 计划片数 + 菲票范围</x:v>
      </x:c>
      <x:c r="L47" s="34" t="str">
        <x:v>否</x:v>
      </x:c>
      <x:c r="M47" s="34" t="str">
        <x:v>按整个任务生成；不按明细拆加工单</x:v>
      </x:c>
      <x:c r="N47" s="34" t="str">
        <x:v>生产单 + 工艺 + 作用对象（加工单内聚合全部需求行）</x:v>
      </x:c>
      <x:c r="O47" s="34" t="str">
        <x:v>是，单内展示全部明细</x:v>
      </x:c>
      <x:c r="P47" s="24" t="str">
        <x:v>APF - 辅料工艺</x:v>
      </x:c>
      <x:c r="Q47" s="24" t="str">
        <x:v>整张压褶任务分配给APF - 辅料工艺；建立一张主加工单并在单内展示该任务全部明细。</x:v>
      </x:c>
      <x:c r="R47" s="24" t="str">
        <x:v>src/data/fcs/special-craft-task-generation.ts；src/data/fcs/special-craft-task-orders.ts</x:v>
      </x:c>
      <x:c r="S47" s="34" t="str">
        <x:v>已确认</x:v>
      </x:c>
      <x:c r="T47" s="24" t="str"/>
    </x:row>
    <x:row r="48" ht="64" customHeight="1">
      <x:c r="A48" s="34" t="str">
        <x:v>M-044</x:v>
      </x:c>
      <x:c r="B48" s="24" t="str">
        <x:v>PROD 生产阶段</x:v>
      </x:c>
      <x:c r="C48" s="24" t="str">
        <x:v>辅助工艺</x:v>
      </x:c>
      <x:c r="D48" s="24" t="str">
        <x:v>压褶任务</x:v>
      </x:c>
      <x:c r="E48" s="24" t="str">
        <x:v>压褶加工单</x:v>
      </x:c>
      <x:c r="F48" s="34" t="str">
        <x:v>生产单补料</x:v>
      </x:c>
      <x:c r="G48" s="34" t="str">
        <x:v>适用</x:v>
      </x:c>
      <x:c r="H48" s="34" t="str">
        <x:v>整个任务</x:v>
      </x:c>
      <x:c r="I48" s="34" t="str">
        <x:v>否</x:v>
      </x:c>
      <x:c r="J48" s="34" t="str">
        <x:v>是</x:v>
      </x:c>
      <x:c r="K48" s="24" t="str">
        <x:v>生产单补料来源 + 纸样/裁片部位 + 颜色/尺码 + 计划片数 + 菲票范围</x:v>
      </x:c>
      <x:c r="L48" s="34" t="str">
        <x:v>否</x:v>
      </x:c>
      <x:c r="M48" s="34" t="str">
        <x:v>按整个任务生成；不按明细拆加工单</x:v>
      </x:c>
      <x:c r="N48" s="34" t="str">
        <x:v>生产单补料任务 + 工艺 + 作用对象</x:v>
      </x:c>
      <x:c r="O48" s="34" t="str">
        <x:v>是，单内展示全部明细</x:v>
      </x:c>
      <x:c r="P48" s="24" t="str">
        <x:v>APF - 辅料工艺</x:v>
      </x:c>
      <x:c r="Q48" s="24" t="str">
        <x:v>补料形成的压褶任务整体分配；加工单按任务建立并展示全部补料明细。</x:v>
      </x:c>
      <x:c r="R48" s="24" t="str">
        <x:v>src/data/fcs/special-craft-task-generation.ts；src/data/fcs/special-craft-task-orders.ts</x:v>
      </x:c>
      <x:c r="S48" s="34" t="str">
        <x:v>代码冲突</x:v>
      </x:c>
      <x:c r="T48" s="24" t="str">
        <x:v>业务口径已确认；当前SpecialCraftTaskGenerationSource仅支持PRODUCTION_ORDER。</x:v>
      </x:c>
    </x:row>
    <x:row r="49" ht="64" customHeight="1">
      <x:c r="A49" s="34" t="str">
        <x:v>M-045</x:v>
      </x:c>
      <x:c r="B49" s="24" t="str">
        <x:v>PROD 生产阶段</x:v>
      </x:c>
      <x:c r="C49" s="24" t="str">
        <x:v>辅助工艺</x:v>
      </x:c>
      <x:c r="D49" s="24" t="str">
        <x:v>压褶任务</x:v>
      </x:c>
      <x:c r="E49" s="24" t="str">
        <x:v>压褶加工单</x:v>
      </x:c>
      <x:c r="F49" s="34" t="str">
        <x:v>备货采购（采购）</x:v>
      </x:c>
      <x:c r="G49" s="34" t="str">
        <x:v>待确认</x:v>
      </x:c>
      <x:c r="H49" s="34" t="str">
        <x:v>如适用则整个任务</x:v>
      </x:c>
      <x:c r="I49" s="34" t="str">
        <x:v>否</x:v>
      </x:c>
      <x:c r="J49" s="34" t="str">
        <x:v>是</x:v>
      </x:c>
      <x:c r="K49" s="24" t="str">
        <x:v>采购来源 + 纸样/裁片部位 + 颜色/尺码 + 计划片数 + 菲票范围</x:v>
      </x:c>
      <x:c r="L49" s="34" t="str">
        <x:v>否</x:v>
      </x:c>
      <x:c r="M49" s="34" t="str">
        <x:v>待确认</x:v>
      </x:c>
      <x:c r="N49" s="34" t="str">
        <x:v>待确认</x:v>
      </x:c>
      <x:c r="O49" s="34" t="str">
        <x:v>待确认</x:v>
      </x:c>
      <x:c r="P49" s="24" t="str">
        <x:v>APF - 辅料工艺</x:v>
      </x:c>
      <x:c r="Q49" s="24" t="str">
        <x:v>待确认该来源是否产生此类任务/加工单</x:v>
      </x:c>
      <x:c r="R49" s="24" t="str">
        <x:v>src/data/fcs/special-craft-task-generation.ts；src/data/fcs/special-craft-task-orders.ts</x:v>
      </x:c>
      <x:c r="S49" s="34" t="str">
        <x:v>待确认</x:v>
      </x:c>
      <x:c r="T49" s="24" t="str">
        <x:v>备货采购是否直接触发压褶任务/加工单尚未确认；不得从生产单规则自动外推。</x:v>
      </x:c>
    </x:row>
    <x:row r="50" ht="64" customHeight="1">
      <x:c r="A50" s="34" t="str">
        <x:v>M-046</x:v>
      </x:c>
      <x:c r="B50" s="24" t="str">
        <x:v>PROD 生产阶段</x:v>
      </x:c>
      <x:c r="C50" s="24" t="str">
        <x:v>辅助工艺</x:v>
      </x:c>
      <x:c r="D50" s="24" t="str">
        <x:v>打揽任务</x:v>
      </x:c>
      <x:c r="E50" s="24" t="str">
        <x:v>打揽加工单</x:v>
      </x:c>
      <x:c r="F50" s="34" t="str">
        <x:v>生产单</x:v>
      </x:c>
      <x:c r="G50" s="34" t="str">
        <x:v>适用</x:v>
      </x:c>
      <x:c r="H50" s="34" t="str">
        <x:v>整个任务</x:v>
      </x:c>
      <x:c r="I50" s="34" t="str">
        <x:v>否</x:v>
      </x:c>
      <x:c r="J50" s="34" t="str">
        <x:v>是</x:v>
      </x:c>
      <x:c r="K50" s="24" t="str">
        <x:v>纸样/裁片部位 + 颜色/尺码 + 计划片数 + 菲票范围</x:v>
      </x:c>
      <x:c r="L50" s="34" t="str">
        <x:v>否</x:v>
      </x:c>
      <x:c r="M50" s="34" t="str">
        <x:v>按整个任务生成；不按明细拆加工单</x:v>
      </x:c>
      <x:c r="N50" s="34" t="str">
        <x:v>生产单 + 工艺 + 作用对象（加工单内聚合全部需求行）</x:v>
      </x:c>
      <x:c r="O50" s="34" t="str">
        <x:v>是，单内展示全部明细</x:v>
      </x:c>
      <x:c r="P50" s="24" t="str">
        <x:v>APF - 辅料工艺</x:v>
      </x:c>
      <x:c r="Q50" s="24" t="str">
        <x:v>整张打揽任务分配给APF - 辅料工艺；建立一张主加工单并在单内展示该任务全部明细。</x:v>
      </x:c>
      <x:c r="R50" s="24" t="str">
        <x:v>src/data/fcs/special-craft-task-generation.ts；src/data/fcs/special-craft-task-orders.ts</x:v>
      </x:c>
      <x:c r="S50" s="34" t="str">
        <x:v>已确认</x:v>
      </x:c>
      <x:c r="T50" s="24" t="str"/>
    </x:row>
    <x:row r="51" ht="64" customHeight="1">
      <x:c r="A51" s="34" t="str">
        <x:v>M-047</x:v>
      </x:c>
      <x:c r="B51" s="24" t="str">
        <x:v>PROD 生产阶段</x:v>
      </x:c>
      <x:c r="C51" s="24" t="str">
        <x:v>辅助工艺</x:v>
      </x:c>
      <x:c r="D51" s="24" t="str">
        <x:v>打揽任务</x:v>
      </x:c>
      <x:c r="E51" s="24" t="str">
        <x:v>打揽加工单</x:v>
      </x:c>
      <x:c r="F51" s="34" t="str">
        <x:v>生产单补料</x:v>
      </x:c>
      <x:c r="G51" s="34" t="str">
        <x:v>适用</x:v>
      </x:c>
      <x:c r="H51" s="34" t="str">
        <x:v>整个任务</x:v>
      </x:c>
      <x:c r="I51" s="34" t="str">
        <x:v>否</x:v>
      </x:c>
      <x:c r="J51" s="34" t="str">
        <x:v>是</x:v>
      </x:c>
      <x:c r="K51" s="24" t="str">
        <x:v>生产单补料来源 + 纸样/裁片部位 + 颜色/尺码 + 计划片数 + 菲票范围</x:v>
      </x:c>
      <x:c r="L51" s="34" t="str">
        <x:v>否</x:v>
      </x:c>
      <x:c r="M51" s="34" t="str">
        <x:v>按整个任务生成；不按明细拆加工单</x:v>
      </x:c>
      <x:c r="N51" s="34" t="str">
        <x:v>生产单补料任务 + 工艺 + 作用对象</x:v>
      </x:c>
      <x:c r="O51" s="34" t="str">
        <x:v>是，单内展示全部明细</x:v>
      </x:c>
      <x:c r="P51" s="24" t="str">
        <x:v>APF - 辅料工艺</x:v>
      </x:c>
      <x:c r="Q51" s="24" t="str">
        <x:v>补料形成的打揽任务整体分配；加工单按任务建立并展示全部补料明细。</x:v>
      </x:c>
      <x:c r="R51" s="24" t="str">
        <x:v>src/data/fcs/special-craft-task-generation.ts；src/data/fcs/special-craft-task-orders.ts</x:v>
      </x:c>
      <x:c r="S51" s="34" t="str">
        <x:v>代码冲突</x:v>
      </x:c>
      <x:c r="T51" s="24" t="str">
        <x:v>业务口径已确认；当前SpecialCraftTaskGenerationSource仅支持PRODUCTION_ORDER。</x:v>
      </x:c>
    </x:row>
    <x:row r="52" ht="64" customHeight="1">
      <x:c r="A52" s="34" t="str">
        <x:v>M-048</x:v>
      </x:c>
      <x:c r="B52" s="24" t="str">
        <x:v>PROD 生产阶段</x:v>
      </x:c>
      <x:c r="C52" s="24" t="str">
        <x:v>辅助工艺</x:v>
      </x:c>
      <x:c r="D52" s="24" t="str">
        <x:v>打揽任务</x:v>
      </x:c>
      <x:c r="E52" s="24" t="str">
        <x:v>打揽加工单</x:v>
      </x:c>
      <x:c r="F52" s="34" t="str">
        <x:v>备货采购（采购）</x:v>
      </x:c>
      <x:c r="G52" s="34" t="str">
        <x:v>待确认</x:v>
      </x:c>
      <x:c r="H52" s="34" t="str">
        <x:v>如适用则整个任务</x:v>
      </x:c>
      <x:c r="I52" s="34" t="str">
        <x:v>否</x:v>
      </x:c>
      <x:c r="J52" s="34" t="str">
        <x:v>是</x:v>
      </x:c>
      <x:c r="K52" s="24" t="str">
        <x:v>采购来源 + 纸样/裁片部位 + 颜色/尺码 + 计划片数 + 菲票范围</x:v>
      </x:c>
      <x:c r="L52" s="34" t="str">
        <x:v>否</x:v>
      </x:c>
      <x:c r="M52" s="34" t="str">
        <x:v>待确认</x:v>
      </x:c>
      <x:c r="N52" s="34" t="str">
        <x:v>待确认</x:v>
      </x:c>
      <x:c r="O52" s="34" t="str">
        <x:v>待确认</x:v>
      </x:c>
      <x:c r="P52" s="24" t="str">
        <x:v>APF - 辅料工艺</x:v>
      </x:c>
      <x:c r="Q52" s="24" t="str">
        <x:v>待确认该来源是否产生此类任务/加工单</x:v>
      </x:c>
      <x:c r="R52" s="24" t="str">
        <x:v>src/data/fcs/special-craft-task-generation.ts；src/data/fcs/special-craft-task-orders.ts</x:v>
      </x:c>
      <x:c r="S52" s="34" t="str">
        <x:v>待确认</x:v>
      </x:c>
      <x:c r="T52" s="24" t="str">
        <x:v>备货采购是否直接触发打揽任务/加工单尚未确认；不得从生产单规则自动外推。</x:v>
      </x:c>
    </x:row>
    <x:row r="53" ht="64" customHeight="1">
      <x:c r="A53" s="34" t="str">
        <x:v>M-049</x:v>
      </x:c>
      <x:c r="B53" s="24" t="str">
        <x:v>PROD 生产阶段</x:v>
      </x:c>
      <x:c r="C53" s="24" t="str">
        <x:v>辅助工艺</x:v>
      </x:c>
      <x:c r="D53" s="24" t="str">
        <x:v>烫画任务</x:v>
      </x:c>
      <x:c r="E53" s="24" t="str">
        <x:v>烫画加工单</x:v>
      </x:c>
      <x:c r="F53" s="34" t="str">
        <x:v>生产单</x:v>
      </x:c>
      <x:c r="G53" s="34" t="str">
        <x:v>适用</x:v>
      </x:c>
      <x:c r="H53" s="34" t="str">
        <x:v>整个任务</x:v>
      </x:c>
      <x:c r="I53" s="34" t="str">
        <x:v>否</x:v>
      </x:c>
      <x:c r="J53" s="34" t="str">
        <x:v>是</x:v>
      </x:c>
      <x:c r="K53" s="24" t="str">
        <x:v>完整成衣SKU + 计划件数 + 工艺要求</x:v>
      </x:c>
      <x:c r="L53" s="34" t="str">
        <x:v>否</x:v>
      </x:c>
      <x:c r="M53" s="34" t="str">
        <x:v>按整个任务生成；不按明细拆加工单</x:v>
      </x:c>
      <x:c r="N53" s="34" t="str">
        <x:v>生产单 + 工艺 + 作用对象（加工单内聚合全部需求行）</x:v>
      </x:c>
      <x:c r="O53" s="34" t="str">
        <x:v>是，单内展示全部明细</x:v>
      </x:c>
      <x:c r="P53" s="24" t="str">
        <x:v>FLOWER</x:v>
      </x:c>
      <x:c r="Q53" s="24" t="str">
        <x:v>整张烫画任务分配给FLOWER；建立一张主加工单并在单内展示该任务全部明细。</x:v>
      </x:c>
      <x:c r="R53" s="24" t="str">
        <x:v>src/data/fcs/special-craft-task-generation.ts；src/data/fcs/special-craft-task-orders.ts</x:v>
      </x:c>
      <x:c r="S53" s="34" t="str">
        <x:v>已确认</x:v>
      </x:c>
      <x:c r="T53" s="24" t="str"/>
    </x:row>
    <x:row r="54" ht="64" customHeight="1">
      <x:c r="A54" s="34" t="str">
        <x:v>M-050</x:v>
      </x:c>
      <x:c r="B54" s="24" t="str">
        <x:v>PROD 生产阶段</x:v>
      </x:c>
      <x:c r="C54" s="24" t="str">
        <x:v>辅助工艺</x:v>
      </x:c>
      <x:c r="D54" s="24" t="str">
        <x:v>烫画任务</x:v>
      </x:c>
      <x:c r="E54" s="24" t="str">
        <x:v>烫画加工单</x:v>
      </x:c>
      <x:c r="F54" s="34" t="str">
        <x:v>生产单补料</x:v>
      </x:c>
      <x:c r="G54" s="34" t="str">
        <x:v>适用</x:v>
      </x:c>
      <x:c r="H54" s="34" t="str">
        <x:v>整个任务</x:v>
      </x:c>
      <x:c r="I54" s="34" t="str">
        <x:v>否</x:v>
      </x:c>
      <x:c r="J54" s="34" t="str">
        <x:v>是</x:v>
      </x:c>
      <x:c r="K54" s="24" t="str">
        <x:v>生产单补料来源 + 完整成衣SKU + 计划件数 + 工艺要求</x:v>
      </x:c>
      <x:c r="L54" s="34" t="str">
        <x:v>否</x:v>
      </x:c>
      <x:c r="M54" s="34" t="str">
        <x:v>按整个任务生成；不按明细拆加工单</x:v>
      </x:c>
      <x:c r="N54" s="34" t="str">
        <x:v>生产单补料任务 + 工艺 + 作用对象</x:v>
      </x:c>
      <x:c r="O54" s="34" t="str">
        <x:v>是，单内展示全部明细</x:v>
      </x:c>
      <x:c r="P54" s="24" t="str">
        <x:v>FLOWER</x:v>
      </x:c>
      <x:c r="Q54" s="24" t="str">
        <x:v>补料形成的烫画任务整体分配；加工单按任务建立并展示全部补料明细。</x:v>
      </x:c>
      <x:c r="R54" s="24" t="str">
        <x:v>src/data/fcs/special-craft-task-generation.ts；src/data/fcs/special-craft-task-orders.ts</x:v>
      </x:c>
      <x:c r="S54" s="34" t="str">
        <x:v>代码冲突</x:v>
      </x:c>
      <x:c r="T54" s="24" t="str">
        <x:v>业务口径已确认；当前SpecialCraftTaskGenerationSource仅支持PRODUCTION_ORDER。</x:v>
      </x:c>
    </x:row>
    <x:row r="55" ht="64" customHeight="1">
      <x:c r="A55" s="34" t="str">
        <x:v>M-051</x:v>
      </x:c>
      <x:c r="B55" s="24" t="str">
        <x:v>PROD 生产阶段</x:v>
      </x:c>
      <x:c r="C55" s="24" t="str">
        <x:v>辅助工艺</x:v>
      </x:c>
      <x:c r="D55" s="24" t="str">
        <x:v>烫画任务</x:v>
      </x:c>
      <x:c r="E55" s="24" t="str">
        <x:v>烫画加工单</x:v>
      </x:c>
      <x:c r="F55" s="34" t="str">
        <x:v>备货采购（采购）</x:v>
      </x:c>
      <x:c r="G55" s="34" t="str">
        <x:v>待确认</x:v>
      </x:c>
      <x:c r="H55" s="34" t="str">
        <x:v>如适用则整个任务</x:v>
      </x:c>
      <x:c r="I55" s="34" t="str">
        <x:v>否</x:v>
      </x:c>
      <x:c r="J55" s="34" t="str">
        <x:v>是</x:v>
      </x:c>
      <x:c r="K55" s="24" t="str">
        <x:v>采购来源 + 完整成衣SKU + 计划件数 + 工艺要求</x:v>
      </x:c>
      <x:c r="L55" s="34" t="str">
        <x:v>否</x:v>
      </x:c>
      <x:c r="M55" s="34" t="str">
        <x:v>待确认</x:v>
      </x:c>
      <x:c r="N55" s="34" t="str">
        <x:v>待确认</x:v>
      </x:c>
      <x:c r="O55" s="34" t="str">
        <x:v>待确认</x:v>
      </x:c>
      <x:c r="P55" s="24" t="str">
        <x:v>FLOWER</x:v>
      </x:c>
      <x:c r="Q55" s="24" t="str">
        <x:v>待确认该来源是否产生此类任务/加工单</x:v>
      </x:c>
      <x:c r="R55" s="24" t="str">
        <x:v>src/data/fcs/special-craft-task-generation.ts；src/data/fcs/special-craft-task-orders.ts</x:v>
      </x:c>
      <x:c r="S55" s="34" t="str">
        <x:v>待确认</x:v>
      </x:c>
      <x:c r="T55" s="24" t="str">
        <x:v>备货采购是否直接触发烫画任务/加工单尚未确认；不得从生产单规则自动外推。</x:v>
      </x:c>
    </x:row>
    <x:row r="56" ht="64" customHeight="1">
      <x:c r="A56" s="34" t="str">
        <x:v>M-052</x:v>
      </x:c>
      <x:c r="B56" s="24" t="str">
        <x:v>PROD 生产阶段</x:v>
      </x:c>
      <x:c r="C56" s="24" t="str">
        <x:v>辅助工艺</x:v>
      </x:c>
      <x:c r="D56" s="24" t="str">
        <x:v>直喷任务</x:v>
      </x:c>
      <x:c r="E56" s="24" t="str">
        <x:v>直喷加工单</x:v>
      </x:c>
      <x:c r="F56" s="34" t="str">
        <x:v>生产单</x:v>
      </x:c>
      <x:c r="G56" s="34" t="str">
        <x:v>适用</x:v>
      </x:c>
      <x:c r="H56" s="34" t="str">
        <x:v>整个任务</x:v>
      </x:c>
      <x:c r="I56" s="34" t="str">
        <x:v>否</x:v>
      </x:c>
      <x:c r="J56" s="34" t="str">
        <x:v>是</x:v>
      </x:c>
      <x:c r="K56" s="24" t="str">
        <x:v>纸样/裁片部位 + 颜色/尺码 + 计划片数 + 菲票范围</x:v>
      </x:c>
      <x:c r="L56" s="34" t="str">
        <x:v>否</x:v>
      </x:c>
      <x:c r="M56" s="34" t="str">
        <x:v>按整个任务生成；不按明细拆加工单</x:v>
      </x:c>
      <x:c r="N56" s="34" t="str">
        <x:v>生产单 + 工艺 + 作用对象（加工单内聚合全部需求行）</x:v>
      </x:c>
      <x:c r="O56" s="34" t="str">
        <x:v>是，单内展示全部明细</x:v>
      </x:c>
      <x:c r="P56" s="24" t="str">
        <x:v>FLOWER</x:v>
      </x:c>
      <x:c r="Q56" s="24" t="str">
        <x:v>整张直喷任务分配给FLOWER；建立一张主加工单并在单内展示该任务全部明细。</x:v>
      </x:c>
      <x:c r="R56" s="24" t="str">
        <x:v>src/data/fcs/special-craft-task-generation.ts；src/data/fcs/special-craft-task-orders.ts</x:v>
      </x:c>
      <x:c r="S56" s="34" t="str">
        <x:v>已确认</x:v>
      </x:c>
      <x:c r="T56" s="24" t="str"/>
    </x:row>
    <x:row r="57" ht="64" customHeight="1">
      <x:c r="A57" s="34" t="str">
        <x:v>M-053</x:v>
      </x:c>
      <x:c r="B57" s="24" t="str">
        <x:v>PROD 生产阶段</x:v>
      </x:c>
      <x:c r="C57" s="24" t="str">
        <x:v>辅助工艺</x:v>
      </x:c>
      <x:c r="D57" s="24" t="str">
        <x:v>直喷任务</x:v>
      </x:c>
      <x:c r="E57" s="24" t="str">
        <x:v>直喷加工单</x:v>
      </x:c>
      <x:c r="F57" s="34" t="str">
        <x:v>生产单补料</x:v>
      </x:c>
      <x:c r="G57" s="34" t="str">
        <x:v>适用</x:v>
      </x:c>
      <x:c r="H57" s="34" t="str">
        <x:v>整个任务</x:v>
      </x:c>
      <x:c r="I57" s="34" t="str">
        <x:v>否</x:v>
      </x:c>
      <x:c r="J57" s="34" t="str">
        <x:v>是</x:v>
      </x:c>
      <x:c r="K57" s="24" t="str">
        <x:v>生产单补料来源 + 纸样/裁片部位 + 颜色/尺码 + 计划片数 + 菲票范围</x:v>
      </x:c>
      <x:c r="L57" s="34" t="str">
        <x:v>否</x:v>
      </x:c>
      <x:c r="M57" s="34" t="str">
        <x:v>按整个任务生成；不按明细拆加工单</x:v>
      </x:c>
      <x:c r="N57" s="34" t="str">
        <x:v>生产单补料任务 + 工艺 + 作用对象</x:v>
      </x:c>
      <x:c r="O57" s="34" t="str">
        <x:v>是，单内展示全部明细</x:v>
      </x:c>
      <x:c r="P57" s="24" t="str">
        <x:v>FLOWER</x:v>
      </x:c>
      <x:c r="Q57" s="24" t="str">
        <x:v>补料形成的直喷任务整体分配；加工单按任务建立并展示全部补料明细。</x:v>
      </x:c>
      <x:c r="R57" s="24" t="str">
        <x:v>src/data/fcs/special-craft-task-generation.ts；src/data/fcs/special-craft-task-orders.ts</x:v>
      </x:c>
      <x:c r="S57" s="34" t="str">
        <x:v>代码冲突</x:v>
      </x:c>
      <x:c r="T57" s="24" t="str">
        <x:v>业务口径已确认；当前SpecialCraftTaskGenerationSource仅支持PRODUCTION_ORDER。</x:v>
      </x:c>
    </x:row>
    <x:row r="58" ht="64" customHeight="1">
      <x:c r="A58" s="34" t="str">
        <x:v>M-054</x:v>
      </x:c>
      <x:c r="B58" s="24" t="str">
        <x:v>PROD 生产阶段</x:v>
      </x:c>
      <x:c r="C58" s="24" t="str">
        <x:v>辅助工艺</x:v>
      </x:c>
      <x:c r="D58" s="24" t="str">
        <x:v>直喷任务</x:v>
      </x:c>
      <x:c r="E58" s="24" t="str">
        <x:v>直喷加工单</x:v>
      </x:c>
      <x:c r="F58" s="34" t="str">
        <x:v>备货采购（采购）</x:v>
      </x:c>
      <x:c r="G58" s="34" t="str">
        <x:v>待确认</x:v>
      </x:c>
      <x:c r="H58" s="34" t="str">
        <x:v>如适用则整个任务</x:v>
      </x:c>
      <x:c r="I58" s="34" t="str">
        <x:v>否</x:v>
      </x:c>
      <x:c r="J58" s="34" t="str">
        <x:v>是</x:v>
      </x:c>
      <x:c r="K58" s="24" t="str">
        <x:v>采购来源 + 纸样/裁片部位 + 颜色/尺码 + 计划片数 + 菲票范围</x:v>
      </x:c>
      <x:c r="L58" s="34" t="str">
        <x:v>否</x:v>
      </x:c>
      <x:c r="M58" s="34" t="str">
        <x:v>待确认</x:v>
      </x:c>
      <x:c r="N58" s="34" t="str">
        <x:v>待确认</x:v>
      </x:c>
      <x:c r="O58" s="34" t="str">
        <x:v>待确认</x:v>
      </x:c>
      <x:c r="P58" s="24" t="str">
        <x:v>FLOWER</x:v>
      </x:c>
      <x:c r="Q58" s="24" t="str">
        <x:v>待确认该来源是否产生此类任务/加工单</x:v>
      </x:c>
      <x:c r="R58" s="24" t="str">
        <x:v>src/data/fcs/special-craft-task-generation.ts；src/data/fcs/special-craft-task-orders.ts</x:v>
      </x:c>
      <x:c r="S58" s="34" t="str">
        <x:v>待确认</x:v>
      </x:c>
      <x:c r="T58" s="24" t="str">
        <x:v>备货采购是否直接触发直喷任务/加工单尚未确认；不得从生产单规则自动外推。</x:v>
      </x:c>
    </x:row>
    <x:row r="59" ht="64" customHeight="1">
      <x:c r="A59" s="34" t="str">
        <x:v>M-055</x:v>
      </x:c>
      <x:c r="B59" s="24" t="str">
        <x:v>PROD 生产阶段</x:v>
      </x:c>
      <x:c r="C59" s="24" t="str">
        <x:v>辅助工艺</x:v>
      </x:c>
      <x:c r="D59" s="24" t="str">
        <x:v>贝壳绣任务</x:v>
      </x:c>
      <x:c r="E59" s="24" t="str">
        <x:v>贝壳绣加工单</x:v>
      </x:c>
      <x:c r="F59" s="34" t="str">
        <x:v>生产单</x:v>
      </x:c>
      <x:c r="G59" s="34" t="str">
        <x:v>适用</x:v>
      </x:c>
      <x:c r="H59" s="34" t="str">
        <x:v>整个任务</x:v>
      </x:c>
      <x:c r="I59" s="34" t="str">
        <x:v>否</x:v>
      </x:c>
      <x:c r="J59" s="34" t="str">
        <x:v>是</x:v>
      </x:c>
      <x:c r="K59" s="24" t="str">
        <x:v>纸样/裁片部位 + 颜色/尺码 + 计划片数 + 菲票范围</x:v>
      </x:c>
      <x:c r="L59" s="34" t="str">
        <x:v>否</x:v>
      </x:c>
      <x:c r="M59" s="34" t="str">
        <x:v>按整个任务生成；不按明细拆加工单</x:v>
      </x:c>
      <x:c r="N59" s="34" t="str">
        <x:v>生产单 + 工艺 + 作用对象（加工单内聚合全部需求行）</x:v>
      </x:c>
      <x:c r="O59" s="34" t="str">
        <x:v>是，单内展示全部明细</x:v>
      </x:c>
      <x:c r="P59" s="24" t="str">
        <x:v>APF - 辅料工艺</x:v>
      </x:c>
      <x:c r="Q59" s="24" t="str">
        <x:v>整张贝壳绣任务分配给APF - 辅料工艺；建立一张主加工单并在单内展示该任务全部明细。</x:v>
      </x:c>
      <x:c r="R59" s="24" t="str">
        <x:v>src/data/fcs/special-craft-task-generation.ts；src/data/fcs/special-craft-task-orders.ts</x:v>
      </x:c>
      <x:c r="S59" s="34" t="str">
        <x:v>已确认</x:v>
      </x:c>
      <x:c r="T59" s="24" t="str"/>
    </x:row>
    <x:row r="60" ht="64" customHeight="1">
      <x:c r="A60" s="34" t="str">
        <x:v>M-056</x:v>
      </x:c>
      <x:c r="B60" s="24" t="str">
        <x:v>PROD 生产阶段</x:v>
      </x:c>
      <x:c r="C60" s="24" t="str">
        <x:v>辅助工艺</x:v>
      </x:c>
      <x:c r="D60" s="24" t="str">
        <x:v>贝壳绣任务</x:v>
      </x:c>
      <x:c r="E60" s="24" t="str">
        <x:v>贝壳绣加工单</x:v>
      </x:c>
      <x:c r="F60" s="34" t="str">
        <x:v>生产单补料</x:v>
      </x:c>
      <x:c r="G60" s="34" t="str">
        <x:v>适用</x:v>
      </x:c>
      <x:c r="H60" s="34" t="str">
        <x:v>整个任务</x:v>
      </x:c>
      <x:c r="I60" s="34" t="str">
        <x:v>否</x:v>
      </x:c>
      <x:c r="J60" s="34" t="str">
        <x:v>是</x:v>
      </x:c>
      <x:c r="K60" s="24" t="str">
        <x:v>生产单补料来源 + 纸样/裁片部位 + 颜色/尺码 + 计划片数 + 菲票范围</x:v>
      </x:c>
      <x:c r="L60" s="34" t="str">
        <x:v>否</x:v>
      </x:c>
      <x:c r="M60" s="34" t="str">
        <x:v>按整个任务生成；不按明细拆加工单</x:v>
      </x:c>
      <x:c r="N60" s="34" t="str">
        <x:v>生产单补料任务 + 工艺 + 作用对象</x:v>
      </x:c>
      <x:c r="O60" s="34" t="str">
        <x:v>是，单内展示全部明细</x:v>
      </x:c>
      <x:c r="P60" s="24" t="str">
        <x:v>APF - 辅料工艺</x:v>
      </x:c>
      <x:c r="Q60" s="24" t="str">
        <x:v>补料形成的贝壳绣任务整体分配；加工单按任务建立并展示全部补料明细。</x:v>
      </x:c>
      <x:c r="R60" s="24" t="str">
        <x:v>src/data/fcs/special-craft-task-generation.ts；src/data/fcs/special-craft-task-orders.ts</x:v>
      </x:c>
      <x:c r="S60" s="34" t="str">
        <x:v>代码冲突</x:v>
      </x:c>
      <x:c r="T60" s="24" t="str">
        <x:v>业务口径已确认；当前SpecialCraftTaskGenerationSource仅支持PRODUCTION_ORDER。</x:v>
      </x:c>
    </x:row>
    <x:row r="61" ht="64" customHeight="1">
      <x:c r="A61" s="34" t="str">
        <x:v>M-057</x:v>
      </x:c>
      <x:c r="B61" s="24" t="str">
        <x:v>PROD 生产阶段</x:v>
      </x:c>
      <x:c r="C61" s="24" t="str">
        <x:v>辅助工艺</x:v>
      </x:c>
      <x:c r="D61" s="24" t="str">
        <x:v>贝壳绣任务</x:v>
      </x:c>
      <x:c r="E61" s="24" t="str">
        <x:v>贝壳绣加工单</x:v>
      </x:c>
      <x:c r="F61" s="34" t="str">
        <x:v>备货采购（采购）</x:v>
      </x:c>
      <x:c r="G61" s="34" t="str">
        <x:v>待确认</x:v>
      </x:c>
      <x:c r="H61" s="34" t="str">
        <x:v>如适用则整个任务</x:v>
      </x:c>
      <x:c r="I61" s="34" t="str">
        <x:v>否</x:v>
      </x:c>
      <x:c r="J61" s="34" t="str">
        <x:v>是</x:v>
      </x:c>
      <x:c r="K61" s="24" t="str">
        <x:v>采购来源 + 纸样/裁片部位 + 颜色/尺码 + 计划片数 + 菲票范围</x:v>
      </x:c>
      <x:c r="L61" s="34" t="str">
        <x:v>否</x:v>
      </x:c>
      <x:c r="M61" s="34" t="str">
        <x:v>待确认</x:v>
      </x:c>
      <x:c r="N61" s="34" t="str">
        <x:v>待确认</x:v>
      </x:c>
      <x:c r="O61" s="34" t="str">
        <x:v>待确认</x:v>
      </x:c>
      <x:c r="P61" s="24" t="str">
        <x:v>APF - 辅料工艺</x:v>
      </x:c>
      <x:c r="Q61" s="24" t="str">
        <x:v>待确认该来源是否产生此类任务/加工单</x:v>
      </x:c>
      <x:c r="R61" s="24" t="str">
        <x:v>src/data/fcs/special-craft-task-generation.ts；src/data/fcs/special-craft-task-orders.ts</x:v>
      </x:c>
      <x:c r="S61" s="34" t="str">
        <x:v>待确认</x:v>
      </x:c>
      <x:c r="T61" s="24" t="str">
        <x:v>备货采购是否直接触发贝壳绣任务/加工单尚未确认；不得从生产单规则自动外推。</x:v>
      </x:c>
    </x:row>
    <x:row r="62" ht="64" customHeight="1">
      <x:c r="A62" s="34" t="str">
        <x:v>M-058</x:v>
      </x:c>
      <x:c r="B62" s="24" t="str">
        <x:v>PROD 生产阶段</x:v>
      </x:c>
      <x:c r="C62" s="24" t="str">
        <x:v>辅助工艺</x:v>
      </x:c>
      <x:c r="D62" s="24" t="str">
        <x:v>曲牙绣任务</x:v>
      </x:c>
      <x:c r="E62" s="24" t="str">
        <x:v>曲牙绣加工单</x:v>
      </x:c>
      <x:c r="F62" s="34" t="str">
        <x:v>生产单</x:v>
      </x:c>
      <x:c r="G62" s="34" t="str">
        <x:v>适用</x:v>
      </x:c>
      <x:c r="H62" s="34" t="str">
        <x:v>整个任务</x:v>
      </x:c>
      <x:c r="I62" s="34" t="str">
        <x:v>否</x:v>
      </x:c>
      <x:c r="J62" s="34" t="str">
        <x:v>是</x:v>
      </x:c>
      <x:c r="K62" s="24" t="str">
        <x:v>纸样/裁片部位 + 颜色/尺码 + 计划片数 + 菲票范围</x:v>
      </x:c>
      <x:c r="L62" s="34" t="str">
        <x:v>否</x:v>
      </x:c>
      <x:c r="M62" s="34" t="str">
        <x:v>按整个任务生成；不按明细拆加工单</x:v>
      </x:c>
      <x:c r="N62" s="34" t="str">
        <x:v>生产单 + 工艺 + 作用对象（加工单内聚合全部需求行）</x:v>
      </x:c>
      <x:c r="O62" s="34" t="str">
        <x:v>是，单内展示全部明细</x:v>
      </x:c>
      <x:c r="P62" s="24" t="str">
        <x:v>APF - 辅料工艺</x:v>
      </x:c>
      <x:c r="Q62" s="24" t="str">
        <x:v>整张曲牙绣任务分配给APF - 辅料工艺；建立一张主加工单并在单内展示该任务全部明细。</x:v>
      </x:c>
      <x:c r="R62" s="24" t="str">
        <x:v>src/data/fcs/special-craft-task-generation.ts；src/data/fcs/special-craft-task-orders.ts</x:v>
      </x:c>
      <x:c r="S62" s="34" t="str">
        <x:v>已确认</x:v>
      </x:c>
      <x:c r="T62" s="24" t="str"/>
    </x:row>
    <x:row r="63" ht="64" customHeight="1">
      <x:c r="A63" s="34" t="str">
        <x:v>M-059</x:v>
      </x:c>
      <x:c r="B63" s="24" t="str">
        <x:v>PROD 生产阶段</x:v>
      </x:c>
      <x:c r="C63" s="24" t="str">
        <x:v>辅助工艺</x:v>
      </x:c>
      <x:c r="D63" s="24" t="str">
        <x:v>曲牙绣任务</x:v>
      </x:c>
      <x:c r="E63" s="24" t="str">
        <x:v>曲牙绣加工单</x:v>
      </x:c>
      <x:c r="F63" s="34" t="str">
        <x:v>生产单补料</x:v>
      </x:c>
      <x:c r="G63" s="34" t="str">
        <x:v>适用</x:v>
      </x:c>
      <x:c r="H63" s="34" t="str">
        <x:v>整个任务</x:v>
      </x:c>
      <x:c r="I63" s="34" t="str">
        <x:v>否</x:v>
      </x:c>
      <x:c r="J63" s="34" t="str">
        <x:v>是</x:v>
      </x:c>
      <x:c r="K63" s="24" t="str">
        <x:v>生产单补料来源 + 纸样/裁片部位 + 颜色/尺码 + 计划片数 + 菲票范围</x:v>
      </x:c>
      <x:c r="L63" s="34" t="str">
        <x:v>否</x:v>
      </x:c>
      <x:c r="M63" s="34" t="str">
        <x:v>按整个任务生成；不按明细拆加工单</x:v>
      </x:c>
      <x:c r="N63" s="34" t="str">
        <x:v>生产单补料任务 + 工艺 + 作用对象</x:v>
      </x:c>
      <x:c r="O63" s="34" t="str">
        <x:v>是，单内展示全部明细</x:v>
      </x:c>
      <x:c r="P63" s="24" t="str">
        <x:v>APF - 辅料工艺</x:v>
      </x:c>
      <x:c r="Q63" s="24" t="str">
        <x:v>补料形成的曲牙绣任务整体分配；加工单按任务建立并展示全部补料明细。</x:v>
      </x:c>
      <x:c r="R63" s="24" t="str">
        <x:v>src/data/fcs/special-craft-task-generation.ts；src/data/fcs/special-craft-task-orders.ts</x:v>
      </x:c>
      <x:c r="S63" s="34" t="str">
        <x:v>代码冲突</x:v>
      </x:c>
      <x:c r="T63" s="24" t="str">
        <x:v>业务口径已确认；当前SpecialCraftTaskGenerationSource仅支持PRODUCTION_ORDER。</x:v>
      </x:c>
    </x:row>
    <x:row r="64" ht="64" customHeight="1">
      <x:c r="A64" s="34" t="str">
        <x:v>M-060</x:v>
      </x:c>
      <x:c r="B64" s="24" t="str">
        <x:v>PROD 生产阶段</x:v>
      </x:c>
      <x:c r="C64" s="24" t="str">
        <x:v>辅助工艺</x:v>
      </x:c>
      <x:c r="D64" s="24" t="str">
        <x:v>曲牙绣任务</x:v>
      </x:c>
      <x:c r="E64" s="24" t="str">
        <x:v>曲牙绣加工单</x:v>
      </x:c>
      <x:c r="F64" s="34" t="str">
        <x:v>备货采购（采购）</x:v>
      </x:c>
      <x:c r="G64" s="34" t="str">
        <x:v>待确认</x:v>
      </x:c>
      <x:c r="H64" s="34" t="str">
        <x:v>如适用则整个任务</x:v>
      </x:c>
      <x:c r="I64" s="34" t="str">
        <x:v>否</x:v>
      </x:c>
      <x:c r="J64" s="34" t="str">
        <x:v>是</x:v>
      </x:c>
      <x:c r="K64" s="24" t="str">
        <x:v>采购来源 + 纸样/裁片部位 + 颜色/尺码 + 计划片数 + 菲票范围</x:v>
      </x:c>
      <x:c r="L64" s="34" t="str">
        <x:v>否</x:v>
      </x:c>
      <x:c r="M64" s="34" t="str">
        <x:v>待确认</x:v>
      </x:c>
      <x:c r="N64" s="34" t="str">
        <x:v>待确认</x:v>
      </x:c>
      <x:c r="O64" s="34" t="str">
        <x:v>待确认</x:v>
      </x:c>
      <x:c r="P64" s="24" t="str">
        <x:v>APF - 辅料工艺</x:v>
      </x:c>
      <x:c r="Q64" s="24" t="str">
        <x:v>待确认该来源是否产生此类任务/加工单</x:v>
      </x:c>
      <x:c r="R64" s="24" t="str">
        <x:v>src/data/fcs/special-craft-task-generation.ts；src/data/fcs/special-craft-task-orders.ts</x:v>
      </x:c>
      <x:c r="S64" s="34" t="str">
        <x:v>待确认</x:v>
      </x:c>
      <x:c r="T64" s="24" t="str">
        <x:v>备货采购是否直接触发曲牙绣任务/加工单尚未确认；不得从生产单规则自动外推。</x:v>
      </x:c>
    </x:row>
    <x:row r="65" ht="64" customHeight="1">
      <x:c r="A65" s="34" t="str">
        <x:v>M-061</x:v>
      </x:c>
      <x:c r="B65" s="24" t="str">
        <x:v>PROD 生产阶段</x:v>
      </x:c>
      <x:c r="C65" s="24" t="str">
        <x:v>辅助工艺</x:v>
      </x:c>
      <x:c r="D65" s="24" t="str">
        <x:v>一字贝绣花任务</x:v>
      </x:c>
      <x:c r="E65" s="24" t="str">
        <x:v>一字贝绣花加工单</x:v>
      </x:c>
      <x:c r="F65" s="34" t="str">
        <x:v>生产单</x:v>
      </x:c>
      <x:c r="G65" s="34" t="str">
        <x:v>适用</x:v>
      </x:c>
      <x:c r="H65" s="34" t="str">
        <x:v>整个任务</x:v>
      </x:c>
      <x:c r="I65" s="34" t="str">
        <x:v>否</x:v>
      </x:c>
      <x:c r="J65" s="34" t="str">
        <x:v>是</x:v>
      </x:c>
      <x:c r="K65" s="24" t="str">
        <x:v>纸样/裁片部位 + 颜色/尺码 + 计划片数 + 菲票范围</x:v>
      </x:c>
      <x:c r="L65" s="34" t="str">
        <x:v>否</x:v>
      </x:c>
      <x:c r="M65" s="34" t="str">
        <x:v>按整个任务生成；不按明细拆加工单</x:v>
      </x:c>
      <x:c r="N65" s="34" t="str">
        <x:v>生产单 + 工艺 + 作用对象（加工单内聚合全部需求行）</x:v>
      </x:c>
      <x:c r="O65" s="34" t="str">
        <x:v>是，单内展示全部明细</x:v>
      </x:c>
      <x:c r="P65" s="24" t="str">
        <x:v>APF - 辅料工艺</x:v>
      </x:c>
      <x:c r="Q65" s="24" t="str">
        <x:v>整张一字贝绣花任务分配给APF - 辅料工艺；建立一张主加工单并在单内展示该任务全部明细。</x:v>
      </x:c>
      <x:c r="R65" s="24" t="str">
        <x:v>src/data/fcs/special-craft-task-generation.ts；src/data/fcs/special-craft-task-orders.ts</x:v>
      </x:c>
      <x:c r="S65" s="34" t="str">
        <x:v>已确认</x:v>
      </x:c>
      <x:c r="T65" s="24" t="str"/>
    </x:row>
    <x:row r="66" ht="64" customHeight="1">
      <x:c r="A66" s="34" t="str">
        <x:v>M-062</x:v>
      </x:c>
      <x:c r="B66" s="24" t="str">
        <x:v>PROD 生产阶段</x:v>
      </x:c>
      <x:c r="C66" s="24" t="str">
        <x:v>辅助工艺</x:v>
      </x:c>
      <x:c r="D66" s="24" t="str">
        <x:v>一字贝绣花任务</x:v>
      </x:c>
      <x:c r="E66" s="24" t="str">
        <x:v>一字贝绣花加工单</x:v>
      </x:c>
      <x:c r="F66" s="34" t="str">
        <x:v>生产单补料</x:v>
      </x:c>
      <x:c r="G66" s="34" t="str">
        <x:v>适用</x:v>
      </x:c>
      <x:c r="H66" s="34" t="str">
        <x:v>整个任务</x:v>
      </x:c>
      <x:c r="I66" s="34" t="str">
        <x:v>否</x:v>
      </x:c>
      <x:c r="J66" s="34" t="str">
        <x:v>是</x:v>
      </x:c>
      <x:c r="K66" s="24" t="str">
        <x:v>生产单补料来源 + 纸样/裁片部位 + 颜色/尺码 + 计划片数 + 菲票范围</x:v>
      </x:c>
      <x:c r="L66" s="34" t="str">
        <x:v>否</x:v>
      </x:c>
      <x:c r="M66" s="34" t="str">
        <x:v>按整个任务生成；不按明细拆加工单</x:v>
      </x:c>
      <x:c r="N66" s="34" t="str">
        <x:v>生产单补料任务 + 工艺 + 作用对象</x:v>
      </x:c>
      <x:c r="O66" s="34" t="str">
        <x:v>是，单内展示全部明细</x:v>
      </x:c>
      <x:c r="P66" s="24" t="str">
        <x:v>APF - 辅料工艺</x:v>
      </x:c>
      <x:c r="Q66" s="24" t="str">
        <x:v>补料形成的一字贝绣花任务整体分配；加工单按任务建立并展示全部补料明细。</x:v>
      </x:c>
      <x:c r="R66" s="24" t="str">
        <x:v>src/data/fcs/special-craft-task-generation.ts；src/data/fcs/special-craft-task-orders.ts</x:v>
      </x:c>
      <x:c r="S66" s="34" t="str">
        <x:v>代码冲突</x:v>
      </x:c>
      <x:c r="T66" s="24" t="str">
        <x:v>业务口径已确认；当前SpecialCraftTaskGenerationSource仅支持PRODUCTION_ORDER。</x:v>
      </x:c>
    </x:row>
    <x:row r="67" ht="64" customHeight="1">
      <x:c r="A67" s="34" t="str">
        <x:v>M-063</x:v>
      </x:c>
      <x:c r="B67" s="24" t="str">
        <x:v>PROD 生产阶段</x:v>
      </x:c>
      <x:c r="C67" s="24" t="str">
        <x:v>辅助工艺</x:v>
      </x:c>
      <x:c r="D67" s="24" t="str">
        <x:v>一字贝绣花任务</x:v>
      </x:c>
      <x:c r="E67" s="24" t="str">
        <x:v>一字贝绣花加工单</x:v>
      </x:c>
      <x:c r="F67" s="34" t="str">
        <x:v>备货采购（采购）</x:v>
      </x:c>
      <x:c r="G67" s="34" t="str">
        <x:v>待确认</x:v>
      </x:c>
      <x:c r="H67" s="34" t="str">
        <x:v>如适用则整个任务</x:v>
      </x:c>
      <x:c r="I67" s="34" t="str">
        <x:v>否</x:v>
      </x:c>
      <x:c r="J67" s="34" t="str">
        <x:v>是</x:v>
      </x:c>
      <x:c r="K67" s="24" t="str">
        <x:v>采购来源 + 纸样/裁片部位 + 颜色/尺码 + 计划片数 + 菲票范围</x:v>
      </x:c>
      <x:c r="L67" s="34" t="str">
        <x:v>否</x:v>
      </x:c>
      <x:c r="M67" s="34" t="str">
        <x:v>待确认</x:v>
      </x:c>
      <x:c r="N67" s="34" t="str">
        <x:v>待确认</x:v>
      </x:c>
      <x:c r="O67" s="34" t="str">
        <x:v>待确认</x:v>
      </x:c>
      <x:c r="P67" s="24" t="str">
        <x:v>APF - 辅料工艺</x:v>
      </x:c>
      <x:c r="Q67" s="24" t="str">
        <x:v>待确认该来源是否产生此类任务/加工单</x:v>
      </x:c>
      <x:c r="R67" s="24" t="str">
        <x:v>src/data/fcs/special-craft-task-generation.ts；src/data/fcs/special-craft-task-orders.ts</x:v>
      </x:c>
      <x:c r="S67" s="34" t="str">
        <x:v>待确认</x:v>
      </x:c>
      <x:c r="T67" s="24" t="str">
        <x:v>备货采购是否直接触发一字贝绣花任务/加工单尚未确认；不得从生产单规则自动外推。</x:v>
      </x:c>
    </x:row>
    <x:row r="68" ht="64" customHeight="1">
      <x:c r="A68" s="34" t="str">
        <x:v>M-064</x:v>
      </x:c>
      <x:c r="B68" s="24" t="str">
        <x:v>PROD 生产阶段</x:v>
      </x:c>
      <x:c r="C68" s="24" t="str">
        <x:v>辅助工艺</x:v>
      </x:c>
      <x:c r="D68" s="24" t="str">
        <x:v>盘扣任务</x:v>
      </x:c>
      <x:c r="E68" s="24" t="str">
        <x:v>盘扣加工单</x:v>
      </x:c>
      <x:c r="F68" s="34" t="str">
        <x:v>生产单</x:v>
      </x:c>
      <x:c r="G68" s="34" t="str">
        <x:v>适用</x:v>
      </x:c>
      <x:c r="H68" s="34" t="str">
        <x:v>整个任务</x:v>
      </x:c>
      <x:c r="I68" s="34" t="str">
        <x:v>否</x:v>
      </x:c>
      <x:c r="J68" s="34" t="str">
        <x:v>是</x:v>
      </x:c>
      <x:c r="K68" s="24" t="str">
        <x:v>标记盘扣的捆条行 + 捆条菲票 + 投入张/追溯米数 + BOM产出单位</x:v>
      </x:c>
      <x:c r="L68" s="34" t="str">
        <x:v>否</x:v>
      </x:c>
      <x:c r="M68" s="34" t="str">
        <x:v>按整个任务生成；不按明细拆加工单</x:v>
      </x:c>
      <x:c r="N68" s="34" t="str">
        <x:v>生产单 + 工艺 + 作用对象（加工单内聚合全部需求行）</x:v>
      </x:c>
      <x:c r="O68" s="34" t="str">
        <x:v>是，单内展示全部明细</x:v>
      </x:c>
      <x:c r="P68" s="24" t="str">
        <x:v>APF - 辅料工艺</x:v>
      </x:c>
      <x:c r="Q68" s="24" t="str">
        <x:v>整张盘扣任务分配给APF - 辅料工艺；建立一张主加工单并在单内展示该任务全部明细。</x:v>
      </x:c>
      <x:c r="R68" s="24" t="str">
        <x:v>src/data/fcs/special-craft-task-generation.ts；src/data/fcs/special-craft-task-orders.ts；src/data/fcs/button-loop-craft-flow.ts</x:v>
      </x:c>
      <x:c r="S68" s="34" t="str">
        <x:v>已确认</x:v>
      </x:c>
      <x:c r="T68" s="24" t="str">
        <x:v>盘扣加工单不得按捆条行/菲票拆单；产出单位取技术包BOM单位，可能为个或对。</x:v>
      </x:c>
    </x:row>
    <x:row r="69" ht="64" customHeight="1">
      <x:c r="A69" s="34" t="str">
        <x:v>M-065</x:v>
      </x:c>
      <x:c r="B69" s="24" t="str">
        <x:v>PROD 生产阶段</x:v>
      </x:c>
      <x:c r="C69" s="24" t="str">
        <x:v>辅助工艺</x:v>
      </x:c>
      <x:c r="D69" s="24" t="str">
        <x:v>盘扣任务</x:v>
      </x:c>
      <x:c r="E69" s="24" t="str">
        <x:v>盘扣加工单</x:v>
      </x:c>
      <x:c r="F69" s="34" t="str">
        <x:v>生产单补料</x:v>
      </x:c>
      <x:c r="G69" s="34" t="str">
        <x:v>适用</x:v>
      </x:c>
      <x:c r="H69" s="34" t="str">
        <x:v>整个任务</x:v>
      </x:c>
      <x:c r="I69" s="34" t="str">
        <x:v>否</x:v>
      </x:c>
      <x:c r="J69" s="34" t="str">
        <x:v>是</x:v>
      </x:c>
      <x:c r="K69" s="24" t="str">
        <x:v>生产单补料来源 + 标记盘扣的捆条行 + 捆条菲票 + 投入张/追溯米数 + BOM产出单位</x:v>
      </x:c>
      <x:c r="L69" s="34" t="str">
        <x:v>否</x:v>
      </x:c>
      <x:c r="M69" s="34" t="str">
        <x:v>按整个任务生成；不按明细拆加工单</x:v>
      </x:c>
      <x:c r="N69" s="34" t="str">
        <x:v>生产单补料任务 + 工艺 + 作用对象</x:v>
      </x:c>
      <x:c r="O69" s="34" t="str">
        <x:v>是，单内展示全部明细</x:v>
      </x:c>
      <x:c r="P69" s="24" t="str">
        <x:v>APF - 辅料工艺</x:v>
      </x:c>
      <x:c r="Q69" s="24" t="str">
        <x:v>补料形成的盘扣任务整体分配；加工单按任务建立并展示全部补料明细。</x:v>
      </x:c>
      <x:c r="R69" s="24" t="str">
        <x:v>src/data/fcs/special-craft-task-generation.ts；src/data/fcs/special-craft-task-orders.ts；src/data/fcs/button-loop-craft-flow.ts</x:v>
      </x:c>
      <x:c r="S69" s="34" t="str">
        <x:v>代码冲突</x:v>
      </x:c>
      <x:c r="T69" s="24" t="str">
        <x:v>业务口径已确认；当前SpecialCraftTaskGenerationSource仅支持PRODUCTION_ORDER。</x:v>
      </x:c>
    </x:row>
    <x:row r="70" ht="64" customHeight="1">
      <x:c r="A70" s="34" t="str">
        <x:v>M-066</x:v>
      </x:c>
      <x:c r="B70" s="24" t="str">
        <x:v>PROD 生产阶段</x:v>
      </x:c>
      <x:c r="C70" s="24" t="str">
        <x:v>辅助工艺</x:v>
      </x:c>
      <x:c r="D70" s="24" t="str">
        <x:v>盘扣任务</x:v>
      </x:c>
      <x:c r="E70" s="24" t="str">
        <x:v>盘扣加工单</x:v>
      </x:c>
      <x:c r="F70" s="34" t="str">
        <x:v>备货采购（采购）</x:v>
      </x:c>
      <x:c r="G70" s="34" t="str">
        <x:v>待确认</x:v>
      </x:c>
      <x:c r="H70" s="34" t="str">
        <x:v>如适用则整个任务</x:v>
      </x:c>
      <x:c r="I70" s="34" t="str">
        <x:v>否</x:v>
      </x:c>
      <x:c r="J70" s="34" t="str">
        <x:v>是</x:v>
      </x:c>
      <x:c r="K70" s="24" t="str">
        <x:v>采购来源 + 标记盘扣的捆条行 + 捆条菲票 + 投入张/追溯米数 + BOM产出单位</x:v>
      </x:c>
      <x:c r="L70" s="34" t="str">
        <x:v>否</x:v>
      </x:c>
      <x:c r="M70" s="34" t="str">
        <x:v>待确认</x:v>
      </x:c>
      <x:c r="N70" s="34" t="str">
        <x:v>待确认</x:v>
      </x:c>
      <x:c r="O70" s="34" t="str">
        <x:v>待确认</x:v>
      </x:c>
      <x:c r="P70" s="24" t="str">
        <x:v>APF - 辅料工艺</x:v>
      </x:c>
      <x:c r="Q70" s="24" t="str">
        <x:v>待确认该来源是否产生此类任务/加工单</x:v>
      </x:c>
      <x:c r="R70" s="24" t="str">
        <x:v>src/data/fcs/special-craft-task-generation.ts；src/data/fcs/special-craft-task-orders.ts；src/data/fcs/button-loop-craft-flow.ts</x:v>
      </x:c>
      <x:c r="S70" s="34" t="str">
        <x:v>待确认</x:v>
      </x:c>
      <x:c r="T70" s="24" t="str">
        <x:v>备货采购是否直接触发盘扣任务/加工单尚未确认；不得从生产单规则自动外推。</x:v>
      </x:c>
    </x:row>
    <x:row r="71" ht="64" customHeight="1">
      <x:c r="A71" s="34" t="str">
        <x:v>M-067</x:v>
      </x:c>
      <x:c r="B71" s="24" t="str">
        <x:v>PROD 生产阶段</x:v>
      </x:c>
      <x:c r="C71" s="24" t="str">
        <x:v>辅助工艺</x:v>
      </x:c>
      <x:c r="D71" s="24" t="str">
        <x:v>花朵任务</x:v>
      </x:c>
      <x:c r="E71" s="24" t="str">
        <x:v>花朵加工单</x:v>
      </x:c>
      <x:c r="F71" s="34" t="str">
        <x:v>生产单</x:v>
      </x:c>
      <x:c r="G71" s="34" t="str">
        <x:v>适用</x:v>
      </x:c>
      <x:c r="H71" s="34" t="str">
        <x:v>整个任务</x:v>
      </x:c>
      <x:c r="I71" s="34" t="str">
        <x:v>否</x:v>
      </x:c>
      <x:c r="J71" s="34" t="str">
        <x:v>是</x:v>
      </x:c>
      <x:c r="K71" s="24" t="str">
        <x:v>纸样/裁片部位 + 颜色/尺码 + 计划片数 + 菲票范围</x:v>
      </x:c>
      <x:c r="L71" s="34" t="str">
        <x:v>否</x:v>
      </x:c>
      <x:c r="M71" s="34" t="str">
        <x:v>按整个任务生成；不按明细拆加工单</x:v>
      </x:c>
      <x:c r="N71" s="34" t="str">
        <x:v>生产单 + 工艺 + 作用对象（加工单内聚合全部需求行）</x:v>
      </x:c>
      <x:c r="O71" s="34" t="str">
        <x:v>是，单内展示全部明细</x:v>
      </x:c>
      <x:c r="P71" s="24" t="str">
        <x:v>APF - 辅料工艺</x:v>
      </x:c>
      <x:c r="Q71" s="24" t="str">
        <x:v>整张花朵任务分配给APF - 辅料工艺；建立一张主加工单并在单内展示该任务全部明细。</x:v>
      </x:c>
      <x:c r="R71" s="24" t="str">
        <x:v>src/data/fcs/special-craft-task-generation.ts；src/data/fcs/special-craft-task-orders.ts</x:v>
      </x:c>
      <x:c r="S71" s="34" t="str">
        <x:v>已确认</x:v>
      </x:c>
      <x:c r="T71" s="24" t="str"/>
    </x:row>
    <x:row r="72" ht="64" customHeight="1">
      <x:c r="A72" s="34" t="str">
        <x:v>M-068</x:v>
      </x:c>
      <x:c r="B72" s="24" t="str">
        <x:v>PROD 生产阶段</x:v>
      </x:c>
      <x:c r="C72" s="24" t="str">
        <x:v>辅助工艺</x:v>
      </x:c>
      <x:c r="D72" s="24" t="str">
        <x:v>花朵任务</x:v>
      </x:c>
      <x:c r="E72" s="24" t="str">
        <x:v>花朵加工单</x:v>
      </x:c>
      <x:c r="F72" s="34" t="str">
        <x:v>生产单补料</x:v>
      </x:c>
      <x:c r="G72" s="34" t="str">
        <x:v>适用</x:v>
      </x:c>
      <x:c r="H72" s="34" t="str">
        <x:v>整个任务</x:v>
      </x:c>
      <x:c r="I72" s="34" t="str">
        <x:v>否</x:v>
      </x:c>
      <x:c r="J72" s="34" t="str">
        <x:v>是</x:v>
      </x:c>
      <x:c r="K72" s="24" t="str">
        <x:v>生产单补料来源 + 纸样/裁片部位 + 颜色/尺码 + 计划片数 + 菲票范围</x:v>
      </x:c>
      <x:c r="L72" s="34" t="str">
        <x:v>否</x:v>
      </x:c>
      <x:c r="M72" s="34" t="str">
        <x:v>按整个任务生成；不按明细拆加工单</x:v>
      </x:c>
      <x:c r="N72" s="34" t="str">
        <x:v>生产单补料任务 + 工艺 + 作用对象</x:v>
      </x:c>
      <x:c r="O72" s="34" t="str">
        <x:v>是，单内展示全部明细</x:v>
      </x:c>
      <x:c r="P72" s="24" t="str">
        <x:v>APF - 辅料工艺</x:v>
      </x:c>
      <x:c r="Q72" s="24" t="str">
        <x:v>补料形成的花朵任务整体分配；加工单按任务建立并展示全部补料明细。</x:v>
      </x:c>
      <x:c r="R72" s="24" t="str">
        <x:v>src/data/fcs/special-craft-task-generation.ts；src/data/fcs/special-craft-task-orders.ts</x:v>
      </x:c>
      <x:c r="S72" s="34" t="str">
        <x:v>代码冲突</x:v>
      </x:c>
      <x:c r="T72" s="24" t="str">
        <x:v>业务口径已确认；当前SpecialCraftTaskGenerationSource仅支持PRODUCTION_ORDER。</x:v>
      </x:c>
    </x:row>
    <x:row r="73" ht="64" customHeight="1">
      <x:c r="A73" s="34" t="str">
        <x:v>M-069</x:v>
      </x:c>
      <x:c r="B73" s="24" t="str">
        <x:v>PROD 生产阶段</x:v>
      </x:c>
      <x:c r="C73" s="24" t="str">
        <x:v>辅助工艺</x:v>
      </x:c>
      <x:c r="D73" s="24" t="str">
        <x:v>花朵任务</x:v>
      </x:c>
      <x:c r="E73" s="24" t="str">
        <x:v>花朵加工单</x:v>
      </x:c>
      <x:c r="F73" s="34" t="str">
        <x:v>备货采购（采购）</x:v>
      </x:c>
      <x:c r="G73" s="34" t="str">
        <x:v>待确认</x:v>
      </x:c>
      <x:c r="H73" s="34" t="str">
        <x:v>如适用则整个任务</x:v>
      </x:c>
      <x:c r="I73" s="34" t="str">
        <x:v>否</x:v>
      </x:c>
      <x:c r="J73" s="34" t="str">
        <x:v>是</x:v>
      </x:c>
      <x:c r="K73" s="24" t="str">
        <x:v>采购来源 + 纸样/裁片部位 + 颜色/尺码 + 计划片数 + 菲票范围</x:v>
      </x:c>
      <x:c r="L73" s="34" t="str">
        <x:v>否</x:v>
      </x:c>
      <x:c r="M73" s="34" t="str">
        <x:v>待确认</x:v>
      </x:c>
      <x:c r="N73" s="34" t="str">
        <x:v>待确认</x:v>
      </x:c>
      <x:c r="O73" s="34" t="str">
        <x:v>待确认</x:v>
      </x:c>
      <x:c r="P73" s="24" t="str">
        <x:v>APF - 辅料工艺</x:v>
      </x:c>
      <x:c r="Q73" s="24" t="str">
        <x:v>待确认该来源是否产生此类任务/加工单</x:v>
      </x:c>
      <x:c r="R73" s="24" t="str">
        <x:v>src/data/fcs/special-craft-task-generation.ts；src/data/fcs/special-craft-task-orders.ts</x:v>
      </x:c>
      <x:c r="S73" s="34" t="str">
        <x:v>待确认</x:v>
      </x:c>
      <x:c r="T73" s="24" t="str">
        <x:v>备货采购是否直接触发花朵任务/加工单尚未确认；不得从生产单规则自动外推。</x:v>
      </x:c>
    </x:row>
    <x:row r="74" ht="64" customHeight="1">
      <x:c r="A74" s="34" t="str">
        <x:v>M-070</x:v>
      </x:c>
      <x:c r="B74" s="24" t="str">
        <x:v>PROD 生产阶段</x:v>
      </x:c>
      <x:c r="C74" s="24" t="str">
        <x:v>辅助工艺</x:v>
      </x:c>
      <x:c r="D74" s="24" t="str">
        <x:v>打褶任务</x:v>
      </x:c>
      <x:c r="E74" s="24" t="str">
        <x:v>打褶加工单</x:v>
      </x:c>
      <x:c r="F74" s="34" t="str">
        <x:v>生产单</x:v>
      </x:c>
      <x:c r="G74" s="34" t="str">
        <x:v>适用</x:v>
      </x:c>
      <x:c r="H74" s="34" t="str">
        <x:v>整个任务</x:v>
      </x:c>
      <x:c r="I74" s="34" t="str">
        <x:v>否</x:v>
      </x:c>
      <x:c r="J74" s="34" t="str">
        <x:v>是</x:v>
      </x:c>
      <x:c r="K74" s="24" t="str">
        <x:v>纸样/裁片部位 + 颜色/尺码 + 计划片数 + 菲票范围</x:v>
      </x:c>
      <x:c r="L74" s="34" t="str">
        <x:v>否</x:v>
      </x:c>
      <x:c r="M74" s="34" t="str">
        <x:v>按整个任务生成；不按明细拆加工单</x:v>
      </x:c>
      <x:c r="N74" s="34" t="str">
        <x:v>生产单 + 工艺 + 作用对象（加工单内聚合全部需求行）</x:v>
      </x:c>
      <x:c r="O74" s="34" t="str">
        <x:v>是，单内展示全部明细</x:v>
      </x:c>
      <x:c r="P74" s="24" t="str">
        <x:v>APF - 辅料工艺</x:v>
      </x:c>
      <x:c r="Q74" s="24" t="str">
        <x:v>整张打褶任务分配给APF - 辅料工艺；建立一张主加工单并在单内展示该任务全部明细。</x:v>
      </x:c>
      <x:c r="R74" s="24" t="str">
        <x:v>src/data/fcs/special-craft-task-generation.ts；src/data/fcs/special-craft-task-orders.ts</x:v>
      </x:c>
      <x:c r="S74" s="34" t="str">
        <x:v>已确认</x:v>
      </x:c>
      <x:c r="T74" s="24" t="str"/>
    </x:row>
    <x:row r="75" ht="64" customHeight="1">
      <x:c r="A75" s="34" t="str">
        <x:v>M-071</x:v>
      </x:c>
      <x:c r="B75" s="24" t="str">
        <x:v>PROD 生产阶段</x:v>
      </x:c>
      <x:c r="C75" s="24" t="str">
        <x:v>辅助工艺</x:v>
      </x:c>
      <x:c r="D75" s="24" t="str">
        <x:v>打褶任务</x:v>
      </x:c>
      <x:c r="E75" s="24" t="str">
        <x:v>打褶加工单</x:v>
      </x:c>
      <x:c r="F75" s="34" t="str">
        <x:v>生产单补料</x:v>
      </x:c>
      <x:c r="G75" s="34" t="str">
        <x:v>适用</x:v>
      </x:c>
      <x:c r="H75" s="34" t="str">
        <x:v>整个任务</x:v>
      </x:c>
      <x:c r="I75" s="34" t="str">
        <x:v>否</x:v>
      </x:c>
      <x:c r="J75" s="34" t="str">
        <x:v>是</x:v>
      </x:c>
      <x:c r="K75" s="24" t="str">
        <x:v>生产单补料来源 + 纸样/裁片部位 + 颜色/尺码 + 计划片数 + 菲票范围</x:v>
      </x:c>
      <x:c r="L75" s="34" t="str">
        <x:v>否</x:v>
      </x:c>
      <x:c r="M75" s="34" t="str">
        <x:v>按整个任务生成；不按明细拆加工单</x:v>
      </x:c>
      <x:c r="N75" s="34" t="str">
        <x:v>生产单补料任务 + 工艺 + 作用对象</x:v>
      </x:c>
      <x:c r="O75" s="34" t="str">
        <x:v>是，单内展示全部明细</x:v>
      </x:c>
      <x:c r="P75" s="24" t="str">
        <x:v>APF - 辅料工艺</x:v>
      </x:c>
      <x:c r="Q75" s="24" t="str">
        <x:v>补料形成的打褶任务整体分配；加工单按任务建立并展示全部补料明细。</x:v>
      </x:c>
      <x:c r="R75" s="24" t="str">
        <x:v>src/data/fcs/special-craft-task-generation.ts；src/data/fcs/special-craft-task-orders.ts</x:v>
      </x:c>
      <x:c r="S75" s="34" t="str">
        <x:v>代码冲突</x:v>
      </x:c>
      <x:c r="T75" s="24" t="str">
        <x:v>业务口径已确认；当前SpecialCraftTaskGenerationSource仅支持PRODUCTION_ORDER。</x:v>
      </x:c>
    </x:row>
    <x:row r="76" ht="64" customHeight="1">
      <x:c r="A76" s="34" t="str">
        <x:v>M-072</x:v>
      </x:c>
      <x:c r="B76" s="24" t="str">
        <x:v>PROD 生产阶段</x:v>
      </x:c>
      <x:c r="C76" s="24" t="str">
        <x:v>辅助工艺</x:v>
      </x:c>
      <x:c r="D76" s="24" t="str">
        <x:v>打褶任务</x:v>
      </x:c>
      <x:c r="E76" s="24" t="str">
        <x:v>打褶加工单</x:v>
      </x:c>
      <x:c r="F76" s="34" t="str">
        <x:v>备货采购（采购）</x:v>
      </x:c>
      <x:c r="G76" s="34" t="str">
        <x:v>待确认</x:v>
      </x:c>
      <x:c r="H76" s="34" t="str">
        <x:v>如适用则整个任务</x:v>
      </x:c>
      <x:c r="I76" s="34" t="str">
        <x:v>否</x:v>
      </x:c>
      <x:c r="J76" s="34" t="str">
        <x:v>是</x:v>
      </x:c>
      <x:c r="K76" s="24" t="str">
        <x:v>采购来源 + 纸样/裁片部位 + 颜色/尺码 + 计划片数 + 菲票范围</x:v>
      </x:c>
      <x:c r="L76" s="34" t="str">
        <x:v>否</x:v>
      </x:c>
      <x:c r="M76" s="34" t="str">
        <x:v>待确认</x:v>
      </x:c>
      <x:c r="N76" s="34" t="str">
        <x:v>待确认</x:v>
      </x:c>
      <x:c r="O76" s="34" t="str">
        <x:v>待确认</x:v>
      </x:c>
      <x:c r="P76" s="24" t="str">
        <x:v>APF - 辅料工艺</x:v>
      </x:c>
      <x:c r="Q76" s="24" t="str">
        <x:v>待确认该来源是否产生此类任务/加工单</x:v>
      </x:c>
      <x:c r="R76" s="24" t="str">
        <x:v>src/data/fcs/special-craft-task-generation.ts；src/data/fcs/special-craft-task-orders.ts</x:v>
      </x:c>
      <x:c r="S76" s="34" t="str">
        <x:v>待确认</x:v>
      </x:c>
      <x:c r="T76" s="24" t="str">
        <x:v>备货采购是否直接触发打褶任务/加工单尚未确认；不得从生产单规则自动外推。</x:v>
      </x:c>
    </x:row>
    <x:row r="77" ht="64" customHeight="1">
      <x:c r="A77" s="34" t="str">
        <x:v>M-073</x:v>
      </x:c>
      <x:c r="B77" s="24" t="str">
        <x:v>PROD 生产阶段</x:v>
      </x:c>
      <x:c r="C77" s="24" t="str">
        <x:v>辅助工艺</x:v>
      </x:c>
      <x:c r="D77" s="24" t="str">
        <x:v>烫钻任务</x:v>
      </x:c>
      <x:c r="E77" s="24" t="str">
        <x:v>烫钻加工单</x:v>
      </x:c>
      <x:c r="F77" s="34" t="str">
        <x:v>生产单</x:v>
      </x:c>
      <x:c r="G77" s="34" t="str">
        <x:v>适用</x:v>
      </x:c>
      <x:c r="H77" s="34" t="str">
        <x:v>整个任务</x:v>
      </x:c>
      <x:c r="I77" s="34" t="str">
        <x:v>否</x:v>
      </x:c>
      <x:c r="J77" s="34" t="str">
        <x:v>是</x:v>
      </x:c>
      <x:c r="K77" s="24" t="str">
        <x:v>纸样/裁片部位 + 颜色/尺码 + 计划片数 + 菲票范围</x:v>
      </x:c>
      <x:c r="L77" s="34" t="str">
        <x:v>否</x:v>
      </x:c>
      <x:c r="M77" s="34" t="str">
        <x:v>按整个任务生成；不按明细拆加工单</x:v>
      </x:c>
      <x:c r="N77" s="34" t="str">
        <x:v>生产单 + 工艺 + 作用对象（加工单内聚合全部需求行）</x:v>
      </x:c>
      <x:c r="O77" s="34" t="str">
        <x:v>是，单内展示全部明细</x:v>
      </x:c>
      <x:c r="P77" s="24" t="str">
        <x:v>APF - 辅料工艺</x:v>
      </x:c>
      <x:c r="Q77" s="24" t="str">
        <x:v>整张烫钻任务分配给APF - 辅料工艺；建立一张主加工单并在单内展示该任务全部明细。</x:v>
      </x:c>
      <x:c r="R77" s="24" t="str">
        <x:v>src/data/fcs/special-craft-task-generation.ts；src/data/fcs/special-craft-task-orders.ts</x:v>
      </x:c>
      <x:c r="S77" s="34" t="str">
        <x:v>已确认</x:v>
      </x:c>
      <x:c r="T77" s="24" t="str"/>
    </x:row>
    <x:row r="78" ht="64" customHeight="1">
      <x:c r="A78" s="34" t="str">
        <x:v>M-074</x:v>
      </x:c>
      <x:c r="B78" s="24" t="str">
        <x:v>PROD 生产阶段</x:v>
      </x:c>
      <x:c r="C78" s="24" t="str">
        <x:v>辅助工艺</x:v>
      </x:c>
      <x:c r="D78" s="24" t="str">
        <x:v>烫钻任务</x:v>
      </x:c>
      <x:c r="E78" s="24" t="str">
        <x:v>烫钻加工单</x:v>
      </x:c>
      <x:c r="F78" s="34" t="str">
        <x:v>生产单补料</x:v>
      </x:c>
      <x:c r="G78" s="34" t="str">
        <x:v>适用</x:v>
      </x:c>
      <x:c r="H78" s="34" t="str">
        <x:v>整个任务</x:v>
      </x:c>
      <x:c r="I78" s="34" t="str">
        <x:v>否</x:v>
      </x:c>
      <x:c r="J78" s="34" t="str">
        <x:v>是</x:v>
      </x:c>
      <x:c r="K78" s="24" t="str">
        <x:v>生产单补料来源 + 纸样/裁片部位 + 颜色/尺码 + 计划片数 + 菲票范围</x:v>
      </x:c>
      <x:c r="L78" s="34" t="str">
        <x:v>否</x:v>
      </x:c>
      <x:c r="M78" s="34" t="str">
        <x:v>按整个任务生成；不按明细拆加工单</x:v>
      </x:c>
      <x:c r="N78" s="34" t="str">
        <x:v>生产单补料任务 + 工艺 + 作用对象</x:v>
      </x:c>
      <x:c r="O78" s="34" t="str">
        <x:v>是，单内展示全部明细</x:v>
      </x:c>
      <x:c r="P78" s="24" t="str">
        <x:v>APF - 辅料工艺</x:v>
      </x:c>
      <x:c r="Q78" s="24" t="str">
        <x:v>补料形成的烫钻任务整体分配；加工单按任务建立并展示全部补料明细。</x:v>
      </x:c>
      <x:c r="R78" s="24" t="str">
        <x:v>src/data/fcs/special-craft-task-generation.ts；src/data/fcs/special-craft-task-orders.ts</x:v>
      </x:c>
      <x:c r="S78" s="34" t="str">
        <x:v>代码冲突</x:v>
      </x:c>
      <x:c r="T78" s="24" t="str">
        <x:v>业务口径已确认；当前SpecialCraftTaskGenerationSource仅支持PRODUCTION_ORDER。</x:v>
      </x:c>
    </x:row>
    <x:row r="79" ht="64" customHeight="1">
      <x:c r="A79" s="34" t="str">
        <x:v>M-075</x:v>
      </x:c>
      <x:c r="B79" s="24" t="str">
        <x:v>PROD 生产阶段</x:v>
      </x:c>
      <x:c r="C79" s="24" t="str">
        <x:v>辅助工艺</x:v>
      </x:c>
      <x:c r="D79" s="24" t="str">
        <x:v>烫钻任务</x:v>
      </x:c>
      <x:c r="E79" s="24" t="str">
        <x:v>烫钻加工单</x:v>
      </x:c>
      <x:c r="F79" s="34" t="str">
        <x:v>备货采购（采购）</x:v>
      </x:c>
      <x:c r="G79" s="34" t="str">
        <x:v>待确认</x:v>
      </x:c>
      <x:c r="H79" s="34" t="str">
        <x:v>如适用则整个任务</x:v>
      </x:c>
      <x:c r="I79" s="34" t="str">
        <x:v>否</x:v>
      </x:c>
      <x:c r="J79" s="34" t="str">
        <x:v>是</x:v>
      </x:c>
      <x:c r="K79" s="24" t="str">
        <x:v>采购来源 + 纸样/裁片部位 + 颜色/尺码 + 计划片数 + 菲票范围</x:v>
      </x:c>
      <x:c r="L79" s="34" t="str">
        <x:v>否</x:v>
      </x:c>
      <x:c r="M79" s="34" t="str">
        <x:v>待确认</x:v>
      </x:c>
      <x:c r="N79" s="34" t="str">
        <x:v>待确认</x:v>
      </x:c>
      <x:c r="O79" s="34" t="str">
        <x:v>待确认</x:v>
      </x:c>
      <x:c r="P79" s="24" t="str">
        <x:v>APF - 辅料工艺</x:v>
      </x:c>
      <x:c r="Q79" s="24" t="str">
        <x:v>待确认该来源是否产生此类任务/加工单</x:v>
      </x:c>
      <x:c r="R79" s="24" t="str">
        <x:v>src/data/fcs/special-craft-task-generation.ts；src/data/fcs/special-craft-task-orders.ts</x:v>
      </x:c>
      <x:c r="S79" s="34" t="str">
        <x:v>待确认</x:v>
      </x:c>
      <x:c r="T79" s="24" t="str">
        <x:v>备货采购是否直接触发烫钻任务/加工单尚未确认；不得从生产单规则自动外推。</x:v>
      </x:c>
    </x:row>
    <x:row r="80" ht="64" customHeight="1">
      <x:c r="A80" s="34" t="str">
        <x:v>M-076</x:v>
      </x:c>
      <x:c r="B80" s="24" t="str">
        <x:v>PROD 生产阶段</x:v>
      </x:c>
      <x:c r="C80" s="24" t="str">
        <x:v>特种工艺</x:v>
      </x:c>
      <x:c r="D80" s="24" t="str">
        <x:v>模板工序任务</x:v>
      </x:c>
      <x:c r="E80" s="24" t="str">
        <x:v>模板工序加工单</x:v>
      </x:c>
      <x:c r="F80" s="34" t="str">
        <x:v>生产单</x:v>
      </x:c>
      <x:c r="G80" s="34" t="str">
        <x:v>适用</x:v>
      </x:c>
      <x:c r="H80" s="34" t="str">
        <x:v>整个任务</x:v>
      </x:c>
      <x:c r="I80" s="34" t="str">
        <x:v>否</x:v>
      </x:c>
      <x:c r="J80" s="34" t="str">
        <x:v>是</x:v>
      </x:c>
      <x:c r="K80" s="24" t="str">
        <x:v>纸样/裁片部位 + 颜色/尺码 + 计划片数 + 菲票范围</x:v>
      </x:c>
      <x:c r="L80" s="34" t="str">
        <x:v>否</x:v>
      </x:c>
      <x:c r="M80" s="34" t="str">
        <x:v>按整个任务生成；不按明细拆加工单</x:v>
      </x:c>
      <x:c r="N80" s="34" t="str">
        <x:v>生产单 + 工艺 + 作用对象（加工单内聚合全部需求行）</x:v>
      </x:c>
      <x:c r="O80" s="34" t="str">
        <x:v>是，单内展示全部明细</x:v>
      </x:c>
      <x:c r="P80" s="24" t="str">
        <x:v>SPF - 特种工艺</x:v>
      </x:c>
      <x:c r="Q80" s="24" t="str">
        <x:v>整张模板工序任务分配给SPF - 特种工艺；建立一张主加工单并在单内展示该任务全部明细。</x:v>
      </x:c>
      <x:c r="R80" s="24" t="str">
        <x:v>src/data/fcs/special-craft-task-generation.ts；src/data/fcs/special-craft-task-orders.ts</x:v>
      </x:c>
      <x:c r="S80" s="34" t="str">
        <x:v>已确认</x:v>
      </x:c>
      <x:c r="T80" s="24" t="str"/>
    </x:row>
    <x:row r="81" ht="64" customHeight="1">
      <x:c r="A81" s="34" t="str">
        <x:v>M-077</x:v>
      </x:c>
      <x:c r="B81" s="24" t="str">
        <x:v>PROD 生产阶段</x:v>
      </x:c>
      <x:c r="C81" s="24" t="str">
        <x:v>特种工艺</x:v>
      </x:c>
      <x:c r="D81" s="24" t="str">
        <x:v>模板工序任务</x:v>
      </x:c>
      <x:c r="E81" s="24" t="str">
        <x:v>模板工序加工单</x:v>
      </x:c>
      <x:c r="F81" s="34" t="str">
        <x:v>生产单补料</x:v>
      </x:c>
      <x:c r="G81" s="34" t="str">
        <x:v>适用</x:v>
      </x:c>
      <x:c r="H81" s="34" t="str">
        <x:v>整个任务</x:v>
      </x:c>
      <x:c r="I81" s="34" t="str">
        <x:v>否</x:v>
      </x:c>
      <x:c r="J81" s="34" t="str">
        <x:v>是</x:v>
      </x:c>
      <x:c r="K81" s="24" t="str">
        <x:v>生产单补料来源 + 纸样/裁片部位 + 颜色/尺码 + 计划片数 + 菲票范围</x:v>
      </x:c>
      <x:c r="L81" s="34" t="str">
        <x:v>否</x:v>
      </x:c>
      <x:c r="M81" s="34" t="str">
        <x:v>按整个任务生成；不按明细拆加工单</x:v>
      </x:c>
      <x:c r="N81" s="34" t="str">
        <x:v>生产单补料任务 + 工艺 + 作用对象</x:v>
      </x:c>
      <x:c r="O81" s="34" t="str">
        <x:v>是，单内展示全部明细</x:v>
      </x:c>
      <x:c r="P81" s="24" t="str">
        <x:v>SPF - 特种工艺</x:v>
      </x:c>
      <x:c r="Q81" s="24" t="str">
        <x:v>补料形成的模板工序任务整体分配；加工单按任务建立并展示全部补料明细。</x:v>
      </x:c>
      <x:c r="R81" s="24" t="str">
        <x:v>src/data/fcs/special-craft-task-generation.ts；src/data/fcs/special-craft-task-orders.ts</x:v>
      </x:c>
      <x:c r="S81" s="34" t="str">
        <x:v>代码冲突</x:v>
      </x:c>
      <x:c r="T81" s="24" t="str">
        <x:v>业务口径已确认；当前SpecialCraftTaskGenerationSource仅支持PRODUCTION_ORDER。</x:v>
      </x:c>
    </x:row>
    <x:row r="82" ht="64" customHeight="1">
      <x:c r="A82" s="34" t="str">
        <x:v>M-078</x:v>
      </x:c>
      <x:c r="B82" s="24" t="str">
        <x:v>PROD 生产阶段</x:v>
      </x:c>
      <x:c r="C82" s="24" t="str">
        <x:v>特种工艺</x:v>
      </x:c>
      <x:c r="D82" s="24" t="str">
        <x:v>模板工序任务</x:v>
      </x:c>
      <x:c r="E82" s="24" t="str">
        <x:v>模板工序加工单</x:v>
      </x:c>
      <x:c r="F82" s="34" t="str">
        <x:v>备货采购（采购）</x:v>
      </x:c>
      <x:c r="G82" s="34" t="str">
        <x:v>待确认</x:v>
      </x:c>
      <x:c r="H82" s="34" t="str">
        <x:v>如适用则整个任务</x:v>
      </x:c>
      <x:c r="I82" s="34" t="str">
        <x:v>否</x:v>
      </x:c>
      <x:c r="J82" s="34" t="str">
        <x:v>是</x:v>
      </x:c>
      <x:c r="K82" s="24" t="str">
        <x:v>采购来源 + 纸样/裁片部位 + 颜色/尺码 + 计划片数 + 菲票范围</x:v>
      </x:c>
      <x:c r="L82" s="34" t="str">
        <x:v>否</x:v>
      </x:c>
      <x:c r="M82" s="34" t="str">
        <x:v>待确认</x:v>
      </x:c>
      <x:c r="N82" s="34" t="str">
        <x:v>待确认</x:v>
      </x:c>
      <x:c r="O82" s="34" t="str">
        <x:v>待确认</x:v>
      </x:c>
      <x:c r="P82" s="24" t="str">
        <x:v>SPF - 特种工艺</x:v>
      </x:c>
      <x:c r="Q82" s="24" t="str">
        <x:v>待确认该来源是否产生此类任务/加工单</x:v>
      </x:c>
      <x:c r="R82" s="24" t="str">
        <x:v>src/data/fcs/special-craft-task-generation.ts；src/data/fcs/special-craft-task-orders.ts</x:v>
      </x:c>
      <x:c r="S82" s="34" t="str">
        <x:v>待确认</x:v>
      </x:c>
      <x:c r="T82" s="24" t="str">
        <x:v>备货采购是否直接触发模板工序任务/加工单尚未确认；不得从生产单规则自动外推。</x:v>
      </x:c>
    </x:row>
    <x:row r="83" ht="64" customHeight="1">
      <x:c r="A83" s="34" t="str">
        <x:v>M-079</x:v>
      </x:c>
      <x:c r="B83" s="24" t="str">
        <x:v>PROD 生产阶段</x:v>
      </x:c>
      <x:c r="C83" s="24" t="str">
        <x:v>特种工艺</x:v>
      </x:c>
      <x:c r="D83" s="24" t="str">
        <x:v>激光开袋任务</x:v>
      </x:c>
      <x:c r="E83" s="24" t="str">
        <x:v>激光开袋加工单</x:v>
      </x:c>
      <x:c r="F83" s="34" t="str">
        <x:v>生产单</x:v>
      </x:c>
      <x:c r="G83" s="34" t="str">
        <x:v>适用</x:v>
      </x:c>
      <x:c r="H83" s="34" t="str">
        <x:v>整个任务</x:v>
      </x:c>
      <x:c r="I83" s="34" t="str">
        <x:v>否</x:v>
      </x:c>
      <x:c r="J83" s="34" t="str">
        <x:v>是</x:v>
      </x:c>
      <x:c r="K83" s="24" t="str">
        <x:v>纸样/裁片部位 + 颜色/尺码 + 计划片数 + 菲票范围</x:v>
      </x:c>
      <x:c r="L83" s="34" t="str">
        <x:v>否</x:v>
      </x:c>
      <x:c r="M83" s="34" t="str">
        <x:v>按整个任务生成；不按明细拆加工单</x:v>
      </x:c>
      <x:c r="N83" s="34" t="str">
        <x:v>生产单 + 工艺 + 作用对象（加工单内聚合全部需求行）</x:v>
      </x:c>
      <x:c r="O83" s="34" t="str">
        <x:v>是，单内展示全部明细</x:v>
      </x:c>
      <x:c r="P83" s="24" t="str">
        <x:v>SPF - 特种工艺</x:v>
      </x:c>
      <x:c r="Q83" s="24" t="str">
        <x:v>整张激光开袋任务分配给SPF - 特种工艺；建立一张主加工单并在单内展示该任务全部明细。</x:v>
      </x:c>
      <x:c r="R83" s="24" t="str">
        <x:v>src/data/fcs/special-craft-task-generation.ts；src/data/fcs/special-craft-task-orders.ts</x:v>
      </x:c>
      <x:c r="S83" s="34" t="str">
        <x:v>已确认</x:v>
      </x:c>
      <x:c r="T83" s="24" t="str"/>
    </x:row>
    <x:row r="84" ht="64" customHeight="1">
      <x:c r="A84" s="34" t="str">
        <x:v>M-080</x:v>
      </x:c>
      <x:c r="B84" s="24" t="str">
        <x:v>PROD 生产阶段</x:v>
      </x:c>
      <x:c r="C84" s="24" t="str">
        <x:v>特种工艺</x:v>
      </x:c>
      <x:c r="D84" s="24" t="str">
        <x:v>激光开袋任务</x:v>
      </x:c>
      <x:c r="E84" s="24" t="str">
        <x:v>激光开袋加工单</x:v>
      </x:c>
      <x:c r="F84" s="34" t="str">
        <x:v>生产单补料</x:v>
      </x:c>
      <x:c r="G84" s="34" t="str">
        <x:v>适用</x:v>
      </x:c>
      <x:c r="H84" s="34" t="str">
        <x:v>整个任务</x:v>
      </x:c>
      <x:c r="I84" s="34" t="str">
        <x:v>否</x:v>
      </x:c>
      <x:c r="J84" s="34" t="str">
        <x:v>是</x:v>
      </x:c>
      <x:c r="K84" s="24" t="str">
        <x:v>生产单补料来源 + 纸样/裁片部位 + 颜色/尺码 + 计划片数 + 菲票范围</x:v>
      </x:c>
      <x:c r="L84" s="34" t="str">
        <x:v>否</x:v>
      </x:c>
      <x:c r="M84" s="34" t="str">
        <x:v>按整个任务生成；不按明细拆加工单</x:v>
      </x:c>
      <x:c r="N84" s="34" t="str">
        <x:v>生产单补料任务 + 工艺 + 作用对象</x:v>
      </x:c>
      <x:c r="O84" s="34" t="str">
        <x:v>是，单内展示全部明细</x:v>
      </x:c>
      <x:c r="P84" s="24" t="str">
        <x:v>SPF - 特种工艺</x:v>
      </x:c>
      <x:c r="Q84" s="24" t="str">
        <x:v>补料形成的激光开袋任务整体分配；加工单按任务建立并展示全部补料明细。</x:v>
      </x:c>
      <x:c r="R84" s="24" t="str">
        <x:v>src/data/fcs/special-craft-task-generation.ts；src/data/fcs/special-craft-task-orders.ts</x:v>
      </x:c>
      <x:c r="S84" s="34" t="str">
        <x:v>代码冲突</x:v>
      </x:c>
      <x:c r="T84" s="24" t="str">
        <x:v>业务口径已确认；当前SpecialCraftTaskGenerationSource仅支持PRODUCTION_ORDER。</x:v>
      </x:c>
    </x:row>
    <x:row r="85" ht="64" customHeight="1">
      <x:c r="A85" s="34" t="str">
        <x:v>M-081</x:v>
      </x:c>
      <x:c r="B85" s="24" t="str">
        <x:v>PROD 生产阶段</x:v>
      </x:c>
      <x:c r="C85" s="24" t="str">
        <x:v>特种工艺</x:v>
      </x:c>
      <x:c r="D85" s="24" t="str">
        <x:v>激光开袋任务</x:v>
      </x:c>
      <x:c r="E85" s="24" t="str">
        <x:v>激光开袋加工单</x:v>
      </x:c>
      <x:c r="F85" s="34" t="str">
        <x:v>备货采购（采购）</x:v>
      </x:c>
      <x:c r="G85" s="34" t="str">
        <x:v>待确认</x:v>
      </x:c>
      <x:c r="H85" s="34" t="str">
        <x:v>如适用则整个任务</x:v>
      </x:c>
      <x:c r="I85" s="34" t="str">
        <x:v>否</x:v>
      </x:c>
      <x:c r="J85" s="34" t="str">
        <x:v>是</x:v>
      </x:c>
      <x:c r="K85" s="24" t="str">
        <x:v>采购来源 + 纸样/裁片部位 + 颜色/尺码 + 计划片数 + 菲票范围</x:v>
      </x:c>
      <x:c r="L85" s="34" t="str">
        <x:v>否</x:v>
      </x:c>
      <x:c r="M85" s="34" t="str">
        <x:v>待确认</x:v>
      </x:c>
      <x:c r="N85" s="34" t="str">
        <x:v>待确认</x:v>
      </x:c>
      <x:c r="O85" s="34" t="str">
        <x:v>待确认</x:v>
      </x:c>
      <x:c r="P85" s="24" t="str">
        <x:v>SPF - 特种工艺</x:v>
      </x:c>
      <x:c r="Q85" s="24" t="str">
        <x:v>待确认该来源是否产生此类任务/加工单</x:v>
      </x:c>
      <x:c r="R85" s="24" t="str">
        <x:v>src/data/fcs/special-craft-task-generation.ts；src/data/fcs/special-craft-task-orders.ts</x:v>
      </x:c>
      <x:c r="S85" s="34" t="str">
        <x:v>待确认</x:v>
      </x:c>
      <x:c r="T85" s="24" t="str">
        <x:v>备货采购是否直接触发激光开袋任务/加工单尚未确认；不得从生产单规则自动外推。</x:v>
      </x:c>
    </x:row>
    <x:row r="86" ht="64" customHeight="1">
      <x:c r="A86" s="34" t="str">
        <x:v>M-082</x:v>
      </x:c>
      <x:c r="B86" s="24" t="str">
        <x:v>PROD 生产阶段</x:v>
      </x:c>
      <x:c r="C86" s="24" t="str">
        <x:v>特种工艺</x:v>
      </x:c>
      <x:c r="D86" s="24" t="str">
        <x:v>特种车缝（花样机）任务</x:v>
      </x:c>
      <x:c r="E86" s="24" t="str">
        <x:v>特种车缝（花样机）加工单</x:v>
      </x:c>
      <x:c r="F86" s="34" t="str">
        <x:v>生产单</x:v>
      </x:c>
      <x:c r="G86" s="34" t="str">
        <x:v>适用</x:v>
      </x:c>
      <x:c r="H86" s="34" t="str">
        <x:v>整个任务</x:v>
      </x:c>
      <x:c r="I86" s="34" t="str">
        <x:v>否</x:v>
      </x:c>
      <x:c r="J86" s="34" t="str">
        <x:v>是</x:v>
      </x:c>
      <x:c r="K86" s="24" t="str">
        <x:v>纸样/裁片部位 + 颜色/尺码 + 计划片数 + 菲票范围</x:v>
      </x:c>
      <x:c r="L86" s="34" t="str">
        <x:v>否</x:v>
      </x:c>
      <x:c r="M86" s="34" t="str">
        <x:v>按整个任务生成；不按明细拆加工单</x:v>
      </x:c>
      <x:c r="N86" s="34" t="str">
        <x:v>生产单 + 工艺 + 作用对象（加工单内聚合全部需求行）</x:v>
      </x:c>
      <x:c r="O86" s="34" t="str">
        <x:v>是，单内展示全部明细</x:v>
      </x:c>
      <x:c r="P86" s="24" t="str">
        <x:v>SPF - 特种工艺</x:v>
      </x:c>
      <x:c r="Q86" s="24" t="str">
        <x:v>整张特种车缝（花样机）任务分配给SPF - 特种工艺；建立一张主加工单并在单内展示该任务全部明细。</x:v>
      </x:c>
      <x:c r="R86" s="24" t="str">
        <x:v>src/data/fcs/special-craft-task-generation.ts；src/data/fcs/special-craft-task-orders.ts</x:v>
      </x:c>
      <x:c r="S86" s="34" t="str">
        <x:v>已确认</x:v>
      </x:c>
      <x:c r="T86" s="24" t="str"/>
    </x:row>
    <x:row r="87" ht="64" customHeight="1">
      <x:c r="A87" s="34" t="str">
        <x:v>M-083</x:v>
      </x:c>
      <x:c r="B87" s="24" t="str">
        <x:v>PROD 生产阶段</x:v>
      </x:c>
      <x:c r="C87" s="24" t="str">
        <x:v>特种工艺</x:v>
      </x:c>
      <x:c r="D87" s="24" t="str">
        <x:v>特种车缝（花样机）任务</x:v>
      </x:c>
      <x:c r="E87" s="24" t="str">
        <x:v>特种车缝（花样机）加工单</x:v>
      </x:c>
      <x:c r="F87" s="34" t="str">
        <x:v>生产单补料</x:v>
      </x:c>
      <x:c r="G87" s="34" t="str">
        <x:v>适用</x:v>
      </x:c>
      <x:c r="H87" s="34" t="str">
        <x:v>整个任务</x:v>
      </x:c>
      <x:c r="I87" s="34" t="str">
        <x:v>否</x:v>
      </x:c>
      <x:c r="J87" s="34" t="str">
        <x:v>是</x:v>
      </x:c>
      <x:c r="K87" s="24" t="str">
        <x:v>生产单补料来源 + 纸样/裁片部位 + 颜色/尺码 + 计划片数 + 菲票范围</x:v>
      </x:c>
      <x:c r="L87" s="34" t="str">
        <x:v>否</x:v>
      </x:c>
      <x:c r="M87" s="34" t="str">
        <x:v>按整个任务生成；不按明细拆加工单</x:v>
      </x:c>
      <x:c r="N87" s="34" t="str">
        <x:v>生产单补料任务 + 工艺 + 作用对象</x:v>
      </x:c>
      <x:c r="O87" s="34" t="str">
        <x:v>是，单内展示全部明细</x:v>
      </x:c>
      <x:c r="P87" s="24" t="str">
        <x:v>SPF - 特种工艺</x:v>
      </x:c>
      <x:c r="Q87" s="24" t="str">
        <x:v>补料形成的特种车缝（花样机）任务整体分配；加工单按任务建立并展示全部补料明细。</x:v>
      </x:c>
      <x:c r="R87" s="24" t="str">
        <x:v>src/data/fcs/special-craft-task-generation.ts；src/data/fcs/special-craft-task-orders.ts</x:v>
      </x:c>
      <x:c r="S87" s="34" t="str">
        <x:v>代码冲突</x:v>
      </x:c>
      <x:c r="T87" s="24" t="str">
        <x:v>业务口径已确认；当前SpecialCraftTaskGenerationSource仅支持PRODUCTION_ORDER。</x:v>
      </x:c>
    </x:row>
    <x:row r="88" ht="64" customHeight="1">
      <x:c r="A88" s="34" t="str">
        <x:v>M-084</x:v>
      </x:c>
      <x:c r="B88" s="24" t="str">
        <x:v>PROD 生产阶段</x:v>
      </x:c>
      <x:c r="C88" s="24" t="str">
        <x:v>特种工艺</x:v>
      </x:c>
      <x:c r="D88" s="24" t="str">
        <x:v>特种车缝（花样机）任务</x:v>
      </x:c>
      <x:c r="E88" s="24" t="str">
        <x:v>特种车缝（花样机）加工单</x:v>
      </x:c>
      <x:c r="F88" s="34" t="str">
        <x:v>备货采购（采购）</x:v>
      </x:c>
      <x:c r="G88" s="34" t="str">
        <x:v>待确认</x:v>
      </x:c>
      <x:c r="H88" s="34" t="str">
        <x:v>如适用则整个任务</x:v>
      </x:c>
      <x:c r="I88" s="34" t="str">
        <x:v>否</x:v>
      </x:c>
      <x:c r="J88" s="34" t="str">
        <x:v>是</x:v>
      </x:c>
      <x:c r="K88" s="24" t="str">
        <x:v>采购来源 + 纸样/裁片部位 + 颜色/尺码 + 计划片数 + 菲票范围</x:v>
      </x:c>
      <x:c r="L88" s="34" t="str">
        <x:v>否</x:v>
      </x:c>
      <x:c r="M88" s="34" t="str">
        <x:v>待确认</x:v>
      </x:c>
      <x:c r="N88" s="34" t="str">
        <x:v>待确认</x:v>
      </x:c>
      <x:c r="O88" s="34" t="str">
        <x:v>待确认</x:v>
      </x:c>
      <x:c r="P88" s="24" t="str">
        <x:v>SPF - 特种工艺</x:v>
      </x:c>
      <x:c r="Q88" s="24" t="str">
        <x:v>待确认该来源是否产生此类任务/加工单</x:v>
      </x:c>
      <x:c r="R88" s="24" t="str">
        <x:v>src/data/fcs/special-craft-task-generation.ts；src/data/fcs/special-craft-task-orders.ts</x:v>
      </x:c>
      <x:c r="S88" s="34" t="str">
        <x:v>待确认</x:v>
      </x:c>
      <x:c r="T88" s="24" t="str">
        <x:v>备货采购是否直接触发特种车缝（花样机）任务/加工单尚未确认；不得从生产单规则自动外推。</x:v>
      </x:c>
    </x:row>
    <x:row r="89" ht="64" customHeight="1">
      <x:c r="A89" s="34" t="str">
        <x:v>M-085</x:v>
      </x:c>
      <x:c r="B89" s="24" t="str">
        <x:v>PROD 生产阶段</x:v>
      </x:c>
      <x:c r="C89" s="24" t="str">
        <x:v>特种工艺</x:v>
      </x:c>
      <x:c r="D89" s="24" t="str">
        <x:v>橡筋定长切割任务</x:v>
      </x:c>
      <x:c r="E89" s="24" t="str">
        <x:v>橡筋定长切割加工单</x:v>
      </x:c>
      <x:c r="F89" s="34" t="str">
        <x:v>生产单</x:v>
      </x:c>
      <x:c r="G89" s="34" t="str">
        <x:v>适用</x:v>
      </x:c>
      <x:c r="H89" s="34" t="str">
        <x:v>整个任务</x:v>
      </x:c>
      <x:c r="I89" s="34" t="str">
        <x:v>否</x:v>
      </x:c>
      <x:c r="J89" s="34" t="str">
        <x:v>是</x:v>
      </x:c>
      <x:c r="K89" s="24" t="str">
        <x:v>BOM辅料行 + 规格/定长规则 + 数量/单位</x:v>
      </x:c>
      <x:c r="L89" s="34" t="str">
        <x:v>否</x:v>
      </x:c>
      <x:c r="M89" s="34" t="str">
        <x:v>按整个任务生成；不按明细拆加工单</x:v>
      </x:c>
      <x:c r="N89" s="34" t="str">
        <x:v>生产单 + 工艺 + 作用对象（加工单内聚合全部需求行）</x:v>
      </x:c>
      <x:c r="O89" s="34" t="str">
        <x:v>是，单内展示全部明细</x:v>
      </x:c>
      <x:c r="P89" s="24" t="str">
        <x:v>SPF - 特种工艺</x:v>
      </x:c>
      <x:c r="Q89" s="24" t="str">
        <x:v>整张橡筋定长切割任务分配给SPF - 特种工艺；建立一张主加工单并在单内展示该任务全部明细。</x:v>
      </x:c>
      <x:c r="R89" s="24" t="str">
        <x:v>src/data/fcs/special-craft-task-generation.ts；src/data/fcs/special-craft-task-orders.ts</x:v>
      </x:c>
      <x:c r="S89" s="34" t="str">
        <x:v>已确认</x:v>
      </x:c>
      <x:c r="T89" s="24" t="str"/>
    </x:row>
    <x:row r="90" ht="64" customHeight="1">
      <x:c r="A90" s="34" t="str">
        <x:v>M-086</x:v>
      </x:c>
      <x:c r="B90" s="24" t="str">
        <x:v>PROD 生产阶段</x:v>
      </x:c>
      <x:c r="C90" s="24" t="str">
        <x:v>特种工艺</x:v>
      </x:c>
      <x:c r="D90" s="24" t="str">
        <x:v>橡筋定长切割任务</x:v>
      </x:c>
      <x:c r="E90" s="24" t="str">
        <x:v>橡筋定长切割加工单</x:v>
      </x:c>
      <x:c r="F90" s="34" t="str">
        <x:v>生产单补料</x:v>
      </x:c>
      <x:c r="G90" s="34" t="str">
        <x:v>适用</x:v>
      </x:c>
      <x:c r="H90" s="34" t="str">
        <x:v>整个任务</x:v>
      </x:c>
      <x:c r="I90" s="34" t="str">
        <x:v>否</x:v>
      </x:c>
      <x:c r="J90" s="34" t="str">
        <x:v>是</x:v>
      </x:c>
      <x:c r="K90" s="24" t="str">
        <x:v>生产单补料来源 + BOM辅料行 + 规格/定长规则 + 数量/单位</x:v>
      </x:c>
      <x:c r="L90" s="34" t="str">
        <x:v>否</x:v>
      </x:c>
      <x:c r="M90" s="34" t="str">
        <x:v>按整个任务生成；不按明细拆加工单</x:v>
      </x:c>
      <x:c r="N90" s="34" t="str">
        <x:v>生产单补料任务 + 工艺 + 作用对象</x:v>
      </x:c>
      <x:c r="O90" s="34" t="str">
        <x:v>是，单内展示全部明细</x:v>
      </x:c>
      <x:c r="P90" s="24" t="str">
        <x:v>SPF - 特种工艺</x:v>
      </x:c>
      <x:c r="Q90" s="24" t="str">
        <x:v>补料形成的橡筋定长切割任务整体分配；加工单按任务建立并展示全部补料明细。</x:v>
      </x:c>
      <x:c r="R90" s="24" t="str">
        <x:v>src/data/fcs/special-craft-task-generation.ts；src/data/fcs/special-craft-task-orders.ts</x:v>
      </x:c>
      <x:c r="S90" s="34" t="str">
        <x:v>代码冲突</x:v>
      </x:c>
      <x:c r="T90" s="24" t="str">
        <x:v>业务口径已确认；当前SpecialCraftTaskGenerationSource仅支持PRODUCTION_ORDER。</x:v>
      </x:c>
    </x:row>
    <x:row r="91" ht="64" customHeight="1">
      <x:c r="A91" s="34" t="str">
        <x:v>M-087</x:v>
      </x:c>
      <x:c r="B91" s="24" t="str">
        <x:v>PROD 生产阶段</x:v>
      </x:c>
      <x:c r="C91" s="24" t="str">
        <x:v>特种工艺</x:v>
      </x:c>
      <x:c r="D91" s="24" t="str">
        <x:v>橡筋定长切割任务</x:v>
      </x:c>
      <x:c r="E91" s="24" t="str">
        <x:v>橡筋定长切割加工单</x:v>
      </x:c>
      <x:c r="F91" s="34" t="str">
        <x:v>备货采购（采购）</x:v>
      </x:c>
      <x:c r="G91" s="34" t="str">
        <x:v>待确认</x:v>
      </x:c>
      <x:c r="H91" s="34" t="str">
        <x:v>如适用则整个任务</x:v>
      </x:c>
      <x:c r="I91" s="34" t="str">
        <x:v>否</x:v>
      </x:c>
      <x:c r="J91" s="34" t="str">
        <x:v>是</x:v>
      </x:c>
      <x:c r="K91" s="24" t="str">
        <x:v>采购来源 + BOM辅料行 + 规格/定长规则 + 数量/单位</x:v>
      </x:c>
      <x:c r="L91" s="34" t="str">
        <x:v>否</x:v>
      </x:c>
      <x:c r="M91" s="34" t="str">
        <x:v>待确认</x:v>
      </x:c>
      <x:c r="N91" s="34" t="str">
        <x:v>待确认</x:v>
      </x:c>
      <x:c r="O91" s="34" t="str">
        <x:v>待确认</x:v>
      </x:c>
      <x:c r="P91" s="24" t="str">
        <x:v>SPF - 特种工艺</x:v>
      </x:c>
      <x:c r="Q91" s="24" t="str">
        <x:v>待确认该来源是否产生此类任务/加工单</x:v>
      </x:c>
      <x:c r="R91" s="24" t="str">
        <x:v>src/data/fcs/special-craft-task-generation.ts；src/data/fcs/special-craft-task-orders.ts</x:v>
      </x:c>
      <x:c r="S91" s="34" t="str">
        <x:v>待确认</x:v>
      </x:c>
      <x:c r="T91" s="24" t="str">
        <x:v>备货采购是否直接触发橡筋定长切割任务/加工单尚未确认；不得从生产单规则自动外推。</x:v>
      </x:c>
    </x:row>
    <x:row r="92" ht="64" customHeight="1">
      <x:c r="A92" s="34" t="str">
        <x:v>M-088</x:v>
      </x:c>
      <x:c r="B92" s="24" t="str">
        <x:v>PROD 生产阶段</x:v>
      </x:c>
      <x:c r="C92" s="24" t="str">
        <x:v>特种工艺</x:v>
      </x:c>
      <x:c r="D92" s="24" t="str">
        <x:v>激光切任务</x:v>
      </x:c>
      <x:c r="E92" s="24" t="str">
        <x:v>激光切加工单</x:v>
      </x:c>
      <x:c r="F92" s="34" t="str">
        <x:v>生产单</x:v>
      </x:c>
      <x:c r="G92" s="34" t="str">
        <x:v>适用</x:v>
      </x:c>
      <x:c r="H92" s="34" t="str">
        <x:v>整个任务</x:v>
      </x:c>
      <x:c r="I92" s="34" t="str">
        <x:v>否</x:v>
      </x:c>
      <x:c r="J92" s="34" t="str">
        <x:v>是</x:v>
      </x:c>
      <x:c r="K92" s="24" t="str">
        <x:v>纸样/裁片部位 + 颜色/尺码 + 计划片数 + 菲票范围</x:v>
      </x:c>
      <x:c r="L92" s="34" t="str">
        <x:v>否</x:v>
      </x:c>
      <x:c r="M92" s="34" t="str">
        <x:v>按整个任务生成；不按明细拆加工单</x:v>
      </x:c>
      <x:c r="N92" s="34" t="str">
        <x:v>生产单 + 工艺 + 作用对象（加工单内聚合全部需求行）</x:v>
      </x:c>
      <x:c r="O92" s="34" t="str">
        <x:v>是，单内展示全部明细</x:v>
      </x:c>
      <x:c r="P92" s="24" t="str">
        <x:v>SPF - 特种工艺</x:v>
      </x:c>
      <x:c r="Q92" s="24" t="str">
        <x:v>整张激光切任务分配给SPF - 特种工艺；建立一张主加工单并在单内展示该任务全部明细。</x:v>
      </x:c>
      <x:c r="R92" s="24" t="str">
        <x:v>src/data/fcs/special-craft-task-generation.ts；src/data/fcs/special-craft-task-orders.ts</x:v>
      </x:c>
      <x:c r="S92" s="34" t="str">
        <x:v>已确认</x:v>
      </x:c>
      <x:c r="T92" s="24" t="str"/>
    </x:row>
    <x:row r="93" ht="64" customHeight="1">
      <x:c r="A93" s="34" t="str">
        <x:v>M-089</x:v>
      </x:c>
      <x:c r="B93" s="24" t="str">
        <x:v>PROD 生产阶段</x:v>
      </x:c>
      <x:c r="C93" s="24" t="str">
        <x:v>特种工艺</x:v>
      </x:c>
      <x:c r="D93" s="24" t="str">
        <x:v>激光切任务</x:v>
      </x:c>
      <x:c r="E93" s="24" t="str">
        <x:v>激光切加工单</x:v>
      </x:c>
      <x:c r="F93" s="34" t="str">
        <x:v>生产单补料</x:v>
      </x:c>
      <x:c r="G93" s="34" t="str">
        <x:v>适用</x:v>
      </x:c>
      <x:c r="H93" s="34" t="str">
        <x:v>整个任务</x:v>
      </x:c>
      <x:c r="I93" s="34" t="str">
        <x:v>否</x:v>
      </x:c>
      <x:c r="J93" s="34" t="str">
        <x:v>是</x:v>
      </x:c>
      <x:c r="K93" s="24" t="str">
        <x:v>生产单补料来源 + 纸样/裁片部位 + 颜色/尺码 + 计划片数 + 菲票范围</x:v>
      </x:c>
      <x:c r="L93" s="34" t="str">
        <x:v>否</x:v>
      </x:c>
      <x:c r="M93" s="34" t="str">
        <x:v>按整个任务生成；不按明细拆加工单</x:v>
      </x:c>
      <x:c r="N93" s="34" t="str">
        <x:v>生产单补料任务 + 工艺 + 作用对象</x:v>
      </x:c>
      <x:c r="O93" s="34" t="str">
        <x:v>是，单内展示全部明细</x:v>
      </x:c>
      <x:c r="P93" s="24" t="str">
        <x:v>SPF - 特种工艺</x:v>
      </x:c>
      <x:c r="Q93" s="24" t="str">
        <x:v>补料形成的激光切任务整体分配；加工单按任务建立并展示全部补料明细。</x:v>
      </x:c>
      <x:c r="R93" s="24" t="str">
        <x:v>src/data/fcs/special-craft-task-generation.ts；src/data/fcs/special-craft-task-orders.ts</x:v>
      </x:c>
      <x:c r="S93" s="34" t="str">
        <x:v>代码冲突</x:v>
      </x:c>
      <x:c r="T93" s="24" t="str">
        <x:v>业务口径已确认；当前SpecialCraftTaskGenerationSource仅支持PRODUCTION_ORDER。</x:v>
      </x:c>
    </x:row>
    <x:row r="94" ht="64" customHeight="1">
      <x:c r="A94" s="34" t="str">
        <x:v>M-090</x:v>
      </x:c>
      <x:c r="B94" s="24" t="str">
        <x:v>PROD 生产阶段</x:v>
      </x:c>
      <x:c r="C94" s="24" t="str">
        <x:v>特种工艺</x:v>
      </x:c>
      <x:c r="D94" s="24" t="str">
        <x:v>激光切任务</x:v>
      </x:c>
      <x:c r="E94" s="24" t="str">
        <x:v>激光切加工单</x:v>
      </x:c>
      <x:c r="F94" s="34" t="str">
        <x:v>备货采购（采购）</x:v>
      </x:c>
      <x:c r="G94" s="34" t="str">
        <x:v>待确认</x:v>
      </x:c>
      <x:c r="H94" s="34" t="str">
        <x:v>如适用则整个任务</x:v>
      </x:c>
      <x:c r="I94" s="34" t="str">
        <x:v>否</x:v>
      </x:c>
      <x:c r="J94" s="34" t="str">
        <x:v>是</x:v>
      </x:c>
      <x:c r="K94" s="24" t="str">
        <x:v>采购来源 + 纸样/裁片部位 + 颜色/尺码 + 计划片数 + 菲票范围</x:v>
      </x:c>
      <x:c r="L94" s="34" t="str">
        <x:v>否</x:v>
      </x:c>
      <x:c r="M94" s="34" t="str">
        <x:v>待确认</x:v>
      </x:c>
      <x:c r="N94" s="34" t="str">
        <x:v>待确认</x:v>
      </x:c>
      <x:c r="O94" s="34" t="str">
        <x:v>待确认</x:v>
      </x:c>
      <x:c r="P94" s="24" t="str">
        <x:v>SPF - 特种工艺</x:v>
      </x:c>
      <x:c r="Q94" s="24" t="str">
        <x:v>待确认该来源是否产生此类任务/加工单</x:v>
      </x:c>
      <x:c r="R94" s="24" t="str">
        <x:v>src/data/fcs/special-craft-task-generation.ts；src/data/fcs/special-craft-task-orders.ts</x:v>
      </x:c>
      <x:c r="S94" s="34" t="str">
        <x:v>待确认</x:v>
      </x:c>
      <x:c r="T94" s="24" t="str">
        <x:v>备货采购是否直接触发激光切任务/加工单尚未确认；不得从生产单规则自动外推。</x:v>
      </x:c>
    </x:row>
    <x:row r="95" ht="64" customHeight="1">
      <x:c r="A95" s="34" t="str">
        <x:v>M-091</x:v>
      </x:c>
      <x:c r="B95" s="24" t="str">
        <x:v>POST 后道阶段</x:v>
      </x:c>
      <x:c r="C95" s="24" t="str">
        <x:v>烫包</x:v>
      </x:c>
      <x:c r="D95" s="24" t="str">
        <x:v>独立烫包任务</x:v>
      </x:c>
      <x:c r="E95" s="24" t="str">
        <x:v>不另按需求明细生成加工单/或衔接后道实际工序单</x:v>
      </x:c>
      <x:c r="F95" s="34" t="str">
        <x:v>生产单</x:v>
      </x:c>
      <x:c r="G95" s="34" t="str">
        <x:v>适用</x:v>
      </x:c>
      <x:c r="H95" s="34" t="str">
        <x:v>整个任务</x:v>
      </x:c>
      <x:c r="I95" s="34" t="str">
        <x:v>否</x:v>
      </x:c>
      <x:c r="J95" s="34" t="str">
        <x:v>是</x:v>
      </x:c>
      <x:c r="K95" s="24" t="str">
        <x:v>完整成衣SKU需求明细（只读）</x:v>
      </x:c>
      <x:c r="L95" s="34" t="str">
        <x:v>否</x:v>
      </x:c>
      <x:c r="M95" s="34" t="str">
        <x:v>不另按需求明细生成加工单</x:v>
      </x:c>
      <x:c r="N95" s="34" t="str">
        <x:v>任务本身为执行载体</x:v>
      </x:c>
      <x:c r="O95" s="34" t="str">
        <x:v>任务内保留需求明细</x:v>
      </x:c>
      <x:c r="P95" s="24" t="str">
        <x:v>烫包任务承接工厂</x:v>
      </x:c>
      <x:c r="Q95" s="24" t="str">
        <x:v>独立烫包任务整体分配；SKU需求仅用于查看和执行追溯。</x:v>
      </x:c>
      <x:c r="R95" s="24" t="str">
        <x:v>src/data/fcs/process-craft-dict.ts；src/data/fcs/process-tasks.ts</x:v>
      </x:c>
      <x:c r="S95" s="34" t="str">
        <x:v>代码冲突</x:v>
      </x:c>
      <x:c r="T95" s="24" t="str">
        <x:v>当前字典仍写SKU分配；与“只有独立车缝可按明细分配”冲突。</x:v>
      </x:c>
    </x:row>
    <x:row r="96" ht="64" customHeight="1">
      <x:c r="A96" s="34" t="str">
        <x:v>M-092</x:v>
      </x:c>
      <x:c r="B96" s="24" t="str">
        <x:v>POST 后道阶段</x:v>
      </x:c>
      <x:c r="C96" s="24" t="str">
        <x:v>烫包</x:v>
      </x:c>
      <x:c r="D96" s="24" t="str">
        <x:v>独立烫包任务</x:v>
      </x:c>
      <x:c r="E96" s="24" t="str">
        <x:v>不另按需求明细生成加工单/或衔接后道实际工序单</x:v>
      </x:c>
      <x:c r="F96" s="34" t="str">
        <x:v>生产单补料</x:v>
      </x:c>
      <x:c r="G96" s="34" t="str">
        <x:v>待确认</x:v>
      </x:c>
      <x:c r="H96" s="34" t="str">
        <x:v>如适用则整个任务</x:v>
      </x:c>
      <x:c r="I96" s="34" t="str">
        <x:v>否</x:v>
      </x:c>
      <x:c r="J96" s="34" t="str">
        <x:v>是</x:v>
      </x:c>
      <x:c r="K96" s="24" t="str">
        <x:v>如适用：完整成衣SKU需求明细</x:v>
      </x:c>
      <x:c r="L96" s="34" t="str">
        <x:v>否</x:v>
      </x:c>
      <x:c r="M96" s="34" t="str">
        <x:v>待确认</x:v>
      </x:c>
      <x:c r="N96" s="34" t="str">
        <x:v>待确认</x:v>
      </x:c>
      <x:c r="O96" s="34" t="str">
        <x:v>待确认</x:v>
      </x:c>
      <x:c r="P96" s="24" t="str">
        <x:v>烫包任务承接工厂</x:v>
      </x:c>
      <x:c r="Q96" s="24" t="str">
        <x:v>待确认该来源是否产生此类任务/加工单</x:v>
      </x:c>
      <x:c r="R96" s="24" t="str">
        <x:v>src/data/fcs/process-craft-dict.ts；src/data/fcs/process-tasks.ts</x:v>
      </x:c>
      <x:c r="S96" s="34" t="str">
        <x:v>待确认</x:v>
      </x:c>
      <x:c r="T96" s="24" t="str">
        <x:v>补料是否会形成独立烫包任务尚未确认。</x:v>
      </x:c>
    </x:row>
    <x:row r="97" ht="64" customHeight="1">
      <x:c r="A97" s="34" t="str">
        <x:v>M-093</x:v>
      </x:c>
      <x:c r="B97" s="24" t="str">
        <x:v>POST 后道阶段</x:v>
      </x:c>
      <x:c r="C97" s="24" t="str">
        <x:v>烫包</x:v>
      </x:c>
      <x:c r="D97" s="24" t="str">
        <x:v>独立烫包任务</x:v>
      </x:c>
      <x:c r="E97" s="24" t="str">
        <x:v>不另按需求明细生成加工单/或衔接后道实际工序单</x:v>
      </x:c>
      <x:c r="F97" s="34" t="str">
        <x:v>备货采购（采购）</x:v>
      </x:c>
      <x:c r="G97" s="34" t="str">
        <x:v>不适用</x:v>
      </x:c>
      <x:c r="H97" s="34" t="str">
        <x:v>不适用</x:v>
      </x:c>
      <x:c r="I97" s="34" t="str">
        <x:v>不适用</x:v>
      </x:c>
      <x:c r="J97" s="34" t="str">
        <x:v>不适用</x:v>
      </x:c>
      <x:c r="K97" s="24" t="str">
        <x:v>完整成衣SKU需求明细（只读）</x:v>
      </x:c>
      <x:c r="L97" s="34" t="str">
        <x:v>不适用</x:v>
      </x:c>
      <x:c r="M97" s="34" t="str">
        <x:v>不适用</x:v>
      </x:c>
      <x:c r="N97" s="34" t="str">
        <x:v>不适用</x:v>
      </x:c>
      <x:c r="O97" s="34" t="str">
        <x:v>不适用</x:v>
      </x:c>
      <x:c r="P97" s="24" t="str">
        <x:v>烫包任务承接工厂</x:v>
      </x:c>
      <x:c r="Q97" s="24" t="str">
        <x:v>不适用</x:v>
      </x:c>
      <x:c r="R97" s="24" t="str">
        <x:v>src/data/fcs/process-craft-dict.ts；src/data/fcs/process-tasks.ts</x:v>
      </x:c>
      <x:c r="S97" s="34" t="str">
        <x:v>已确认</x:v>
      </x:c>
      <x:c r="T97" s="24" t="str">
        <x:v>采购/备货不直接形成独立烫包任务。</x:v>
      </x:c>
    </x:row>
    <x:row r="98" ht="64" customHeight="1">
      <x:c r="A98" s="34" t="str">
        <x:v>M-094</x:v>
      </x:c>
      <x:c r="B98" s="24" t="str">
        <x:v>POST 后道阶段</x:v>
      </x:c>
      <x:c r="C98" s="24" t="str">
        <x:v>后道工厂</x:v>
      </x:c>
      <x:c r="D98" s="24" t="str">
        <x:v>后道阶段任务</x:v>
      </x:c>
      <x:c r="E98" s="24" t="str">
        <x:v>后道实际工序单</x:v>
      </x:c>
      <x:c r="F98" s="34" t="str">
        <x:v>生产单</x:v>
      </x:c>
      <x:c r="G98" s="34" t="str">
        <x:v>适用</x:v>
      </x:c>
      <x:c r="H98" s="34" t="str">
        <x:v>整个任务</x:v>
      </x:c>
      <x:c r="I98" s="34" t="str">
        <x:v>否</x:v>
      </x:c>
      <x:c r="J98" s="34" t="str">
        <x:v>是</x:v>
      </x:c>
      <x:c r="K98" s="24" t="str">
        <x:v>生产单下SKU行 + 质检通过/需后道范围</x:v>
      </x:c>
      <x:c r="L98" s="34" t="str">
        <x:v>否</x:v>
      </x:c>
      <x:c r="M98" s="34" t="str">
        <x:v>不按生产需求明细；当前按质检单/后道上下文生成</x:v>
      </x:c>
      <x:c r="N98" s="34" t="str">
        <x:v>质检单/后道来源上下文</x:v>
      </x:c>
      <x:c r="O98" s="34" t="str">
        <x:v>是，单内展示全部明细</x:v>
      </x:c>
      <x:c r="P98" s="24" t="str">
        <x:v>管理后道工厂</x:v>
      </x:c>
      <x:c r="Q98" s="24" t="str">
        <x:v>后道阶段任务整体承接；符合条件的质检单形成后道实际工序单，单内保留SKU明细。</x:v>
      </x:c>
      <x:c r="R98" s="24" t="str">
        <x:v>src/data/fcs/post-finishing-domain.ts</x:v>
      </x:c>
      <x:c r="S98" s="34" t="str">
        <x:v>部分确认</x:v>
      </x:c>
      <x:c r="T98" s="24" t="str">
        <x:v>当前代码生成粒度为质检上下文，不是生产需求明细；是否纳入统一模型待第二阶段讨论。</x:v>
      </x:c>
    </x:row>
    <x:row r="99" ht="64" customHeight="1">
      <x:c r="A99" s="34" t="str">
        <x:v>M-095</x:v>
      </x:c>
      <x:c r="B99" s="24" t="str">
        <x:v>POST 后道阶段</x:v>
      </x:c>
      <x:c r="C99" s="24" t="str">
        <x:v>后道工厂</x:v>
      </x:c>
      <x:c r="D99" s="24" t="str">
        <x:v>后道阶段任务</x:v>
      </x:c>
      <x:c r="E99" s="24" t="str">
        <x:v>后道实际工序单</x:v>
      </x:c>
      <x:c r="F99" s="34" t="str">
        <x:v>生产单补料</x:v>
      </x:c>
      <x:c r="G99" s="34" t="str">
        <x:v>待确认</x:v>
      </x:c>
      <x:c r="H99" s="34" t="str">
        <x:v>如适用则整个任务</x:v>
      </x:c>
      <x:c r="I99" s="34" t="str">
        <x:v>否</x:v>
      </x:c>
      <x:c r="J99" s="34" t="str">
        <x:v>是</x:v>
      </x:c>
      <x:c r="K99" s="24" t="str">
        <x:v>后道返工/补料对象明细</x:v>
      </x:c>
      <x:c r="L99" s="34" t="str">
        <x:v>否</x:v>
      </x:c>
      <x:c r="M99" s="34" t="str">
        <x:v>待确认</x:v>
      </x:c>
      <x:c r="N99" s="34" t="str">
        <x:v>待确认</x:v>
      </x:c>
      <x:c r="O99" s="34" t="str">
        <x:v>待确认</x:v>
      </x:c>
      <x:c r="P99" s="24" t="str">
        <x:v>管理后道工厂</x:v>
      </x:c>
      <x:c r="Q99" s="24" t="str">
        <x:v>待确认该来源是否产生此类任务/加工单</x:v>
      </x:c>
      <x:c r="R99" s="24" t="str">
        <x:v>src/data/fcs/post-finishing-domain.ts</x:v>
      </x:c>
      <x:c r="S99" s="34" t="str">
        <x:v>待确认</x:v>
      </x:c>
      <x:c r="T99" s="24" t="str">
        <x:v>后道补料/返工应通过质检、复检或返工链路表达，是否使用“生产单补料”来源尚未确认。</x:v>
      </x:c>
    </x:row>
    <x:row r="100" ht="64" customHeight="1">
      <x:c r="A100" s="34" t="str">
        <x:v>M-096</x:v>
      </x:c>
      <x:c r="B100" s="24" t="str">
        <x:v>POST 后道阶段</x:v>
      </x:c>
      <x:c r="C100" s="24" t="str">
        <x:v>后道工厂</x:v>
      </x:c>
      <x:c r="D100" s="24" t="str">
        <x:v>后道阶段任务</x:v>
      </x:c>
      <x:c r="E100" s="24" t="str">
        <x:v>后道实际工序单</x:v>
      </x:c>
      <x:c r="F100" s="34" t="str">
        <x:v>备货采购（采购）</x:v>
      </x:c>
      <x:c r="G100" s="34" t="str">
        <x:v>不适用</x:v>
      </x:c>
      <x:c r="H100" s="34" t="str">
        <x:v>不适用</x:v>
      </x:c>
      <x:c r="I100" s="34" t="str">
        <x:v>不适用</x:v>
      </x:c>
      <x:c r="J100" s="34" t="str">
        <x:v>不适用</x:v>
      </x:c>
      <x:c r="K100" s="24" t="str">
        <x:v>生产单下SKU行 + 质检通过/需后道范围</x:v>
      </x:c>
      <x:c r="L100" s="34" t="str">
        <x:v>不适用</x:v>
      </x:c>
      <x:c r="M100" s="34" t="str">
        <x:v>不适用</x:v>
      </x:c>
      <x:c r="N100" s="34" t="str">
        <x:v>不适用</x:v>
      </x:c>
      <x:c r="O100" s="34" t="str">
        <x:v>不适用</x:v>
      </x:c>
      <x:c r="P100" s="24" t="str">
        <x:v>管理后道工厂</x:v>
      </x:c>
      <x:c r="Q100" s="24" t="str">
        <x:v>不适用</x:v>
      </x:c>
      <x:c r="R100" s="24" t="str">
        <x:v>src/data/fcs/post-finishing-domain.ts</x:v>
      </x:c>
      <x:c r="S100" s="34" t="str">
        <x:v>已确认</x:v>
      </x:c>
      <x:c r="T100" s="24" t="str">
        <x:v>采购/备货不直接形成后道阶段任务。</x:v>
      </x:c>
    </x:row>
    <x:row r="101" ht="64" customHeight="1">
      <x:c r="A101" s="34" t="str">
        <x:v>M-097</x:v>
      </x:c>
      <x:c r="B101" s="24" t="str">
        <x:v>POST 后道阶段</x:v>
      </x:c>
      <x:c r="C101" s="24" t="str">
        <x:v>后道工序节点</x:v>
      </x:c>
      <x:c r="D101" s="24" t="str">
        <x:v>开扣眼节点</x:v>
      </x:c>
      <x:c r="E101" s="24" t="str">
        <x:v>不生成独立加工单；作为后道实际工序单项目明细</x:v>
      </x:c>
      <x:c r="F101" s="34" t="str">
        <x:v>生产单</x:v>
      </x:c>
      <x:c r="G101" s="34" t="str">
        <x:v>适用</x:v>
      </x:c>
      <x:c r="H101" s="34" t="str">
        <x:v>不独立分配；随整个后道任务</x:v>
      </x:c>
      <x:c r="I101" s="34" t="str">
        <x:v>否</x:v>
      </x:c>
      <x:c r="J101" s="34" t="str">
        <x:v>是</x:v>
      </x:c>
      <x:c r="K101" s="24" t="str">
        <x:v>后道工序单SKU行 + 工序项目</x:v>
      </x:c>
      <x:c r="L101" s="34" t="str">
        <x:v>否</x:v>
      </x:c>
      <x:c r="M101" s="34" t="str">
        <x:v>不生成独立加工单</x:v>
      </x:c>
      <x:c r="N101" s="34" t="str">
        <x:v>后道实际工序单内项目</x:v>
      </x:c>
      <x:c r="O101" s="34" t="str">
        <x:v>是，作为工序项目明细</x:v>
      </x:c>
      <x:c r="P101" s="24" t="str">
        <x:v>随后道任务承接工厂</x:v>
      </x:c>
      <x:c r="Q101" s="24" t="str">
        <x:v>开扣眼不作为独立可分配任务；随整张后道任务/实际工序单执行。</x:v>
      </x:c>
      <x:c r="R101" s="24" t="str">
        <x:v>src/data/fcs/post-finishing-domain.ts；src/data/fcs/process-craft-dict.ts</x:v>
      </x:c>
      <x:c r="S101" s="34" t="str">
        <x:v>部分确认</x:v>
      </x:c>
      <x:c r="T101" s="24" t="str">
        <x:v>当前代码事实明确；是否保留独立“任务”概念待统一模型时确认。</x:v>
      </x:c>
    </x:row>
    <x:row r="102" ht="64" customHeight="1">
      <x:c r="A102" s="34" t="str">
        <x:v>M-098</x:v>
      </x:c>
      <x:c r="B102" s="24" t="str">
        <x:v>POST 后道阶段</x:v>
      </x:c>
      <x:c r="C102" s="24" t="str">
        <x:v>后道工序节点</x:v>
      </x:c>
      <x:c r="D102" s="24" t="str">
        <x:v>开扣眼节点</x:v>
      </x:c>
      <x:c r="E102" s="24" t="str">
        <x:v>不生成独立加工单；作为后道实际工序单项目明细</x:v>
      </x:c>
      <x:c r="F102" s="34" t="str">
        <x:v>生产单补料</x:v>
      </x:c>
      <x:c r="G102" s="34" t="str">
        <x:v>待确认</x:v>
      </x:c>
      <x:c r="H102" s="34" t="str">
        <x:v>如适用则整个任务</x:v>
      </x:c>
      <x:c r="I102" s="34" t="str">
        <x:v>否</x:v>
      </x:c>
      <x:c r="J102" s="34" t="str">
        <x:v>是</x:v>
      </x:c>
      <x:c r="K102" s="24" t="str">
        <x:v>后道返工对象 + SKU行</x:v>
      </x:c>
      <x:c r="L102" s="34" t="str">
        <x:v>否</x:v>
      </x:c>
      <x:c r="M102" s="34" t="str">
        <x:v>待确认</x:v>
      </x:c>
      <x:c r="N102" s="34" t="str">
        <x:v>待确认</x:v>
      </x:c>
      <x:c r="O102" s="34" t="str">
        <x:v>待确认</x:v>
      </x:c>
      <x:c r="P102" s="24" t="str">
        <x:v>随后道任务承接工厂</x:v>
      </x:c>
      <x:c r="Q102" s="24" t="str">
        <x:v>待确认该来源是否产生此类任务/加工单</x:v>
      </x:c>
      <x:c r="R102" s="24" t="str">
        <x:v>src/data/fcs/post-finishing-domain.ts；src/data/fcs/process-craft-dict.ts</x:v>
      </x:c>
      <x:c r="S102" s="34" t="str">
        <x:v>待确认</x:v>
      </x:c>
      <x:c r="T102" s="24" t="str">
        <x:v>开扣眼返工/补做是否使用生产单补料来源尚未确认。</x:v>
      </x:c>
    </x:row>
    <x:row r="103" ht="64" customHeight="1">
      <x:c r="A103" s="34" t="str">
        <x:v>M-099</x:v>
      </x:c>
      <x:c r="B103" s="24" t="str">
        <x:v>POST 后道阶段</x:v>
      </x:c>
      <x:c r="C103" s="24" t="str">
        <x:v>后道工序节点</x:v>
      </x:c>
      <x:c r="D103" s="24" t="str">
        <x:v>开扣眼节点</x:v>
      </x:c>
      <x:c r="E103" s="24" t="str">
        <x:v>不生成独立加工单；作为后道实际工序单项目明细</x:v>
      </x:c>
      <x:c r="F103" s="34" t="str">
        <x:v>备货采购（采购）</x:v>
      </x:c>
      <x:c r="G103" s="34" t="str">
        <x:v>不适用</x:v>
      </x:c>
      <x:c r="H103" s="34" t="str">
        <x:v>不适用</x:v>
      </x:c>
      <x:c r="I103" s="34" t="str">
        <x:v>不适用</x:v>
      </x:c>
      <x:c r="J103" s="34" t="str">
        <x:v>不适用</x:v>
      </x:c>
      <x:c r="K103" s="24" t="str">
        <x:v>后道工序单SKU行 + 工序项目</x:v>
      </x:c>
      <x:c r="L103" s="34" t="str">
        <x:v>不适用</x:v>
      </x:c>
      <x:c r="M103" s="34" t="str">
        <x:v>不适用</x:v>
      </x:c>
      <x:c r="N103" s="34" t="str">
        <x:v>不适用</x:v>
      </x:c>
      <x:c r="O103" s="34" t="str">
        <x:v>不适用</x:v>
      </x:c>
      <x:c r="P103" s="24" t="str">
        <x:v>随后道任务承接工厂</x:v>
      </x:c>
      <x:c r="Q103" s="24" t="str">
        <x:v>不适用</x:v>
      </x:c>
      <x:c r="R103" s="24" t="str">
        <x:v>src/data/fcs/post-finishing-domain.ts；src/data/fcs/process-craft-dict.ts</x:v>
      </x:c>
      <x:c r="S103" s="34" t="str">
        <x:v>已确认</x:v>
      </x:c>
      <x:c r="T103" s="24" t="str">
        <x:v>采购/备货不直接形成后道工序节点。</x:v>
      </x:c>
    </x:row>
    <x:row r="104" ht="64" customHeight="1">
      <x:c r="A104" s="34" t="str">
        <x:v>M-100</x:v>
      </x:c>
      <x:c r="B104" s="24" t="str">
        <x:v>POST 后道阶段</x:v>
      </x:c>
      <x:c r="C104" s="24" t="str">
        <x:v>后道工序节点</x:v>
      </x:c>
      <x:c r="D104" s="24" t="str">
        <x:v>装扣子节点</x:v>
      </x:c>
      <x:c r="E104" s="24" t="str">
        <x:v>不生成独立加工单；作为后道实际工序单项目明细</x:v>
      </x:c>
      <x:c r="F104" s="34" t="str">
        <x:v>生产单</x:v>
      </x:c>
      <x:c r="G104" s="34" t="str">
        <x:v>适用</x:v>
      </x:c>
      <x:c r="H104" s="34" t="str">
        <x:v>不独立分配；随整个后道任务</x:v>
      </x:c>
      <x:c r="I104" s="34" t="str">
        <x:v>否</x:v>
      </x:c>
      <x:c r="J104" s="34" t="str">
        <x:v>是</x:v>
      </x:c>
      <x:c r="K104" s="24" t="str">
        <x:v>后道工序单SKU行 + 工序项目</x:v>
      </x:c>
      <x:c r="L104" s="34" t="str">
        <x:v>否</x:v>
      </x:c>
      <x:c r="M104" s="34" t="str">
        <x:v>不生成独立加工单</x:v>
      </x:c>
      <x:c r="N104" s="34" t="str">
        <x:v>后道实际工序单内项目</x:v>
      </x:c>
      <x:c r="O104" s="34" t="str">
        <x:v>是，作为工序项目明细</x:v>
      </x:c>
      <x:c r="P104" s="24" t="str">
        <x:v>随后道任务承接工厂</x:v>
      </x:c>
      <x:c r="Q104" s="24" t="str">
        <x:v>装扣子不作为独立可分配任务；随整张后道任务/实际工序单执行。</x:v>
      </x:c>
      <x:c r="R104" s="24" t="str">
        <x:v>src/data/fcs/post-finishing-domain.ts；src/data/fcs/process-craft-dict.ts</x:v>
      </x:c>
      <x:c r="S104" s="34" t="str">
        <x:v>部分确认</x:v>
      </x:c>
      <x:c r="T104" s="24" t="str">
        <x:v>当前代码事实明确；是否保留独立“任务”概念待统一模型时确认。</x:v>
      </x:c>
    </x:row>
    <x:row r="105" ht="64" customHeight="1">
      <x:c r="A105" s="34" t="str">
        <x:v>M-101</x:v>
      </x:c>
      <x:c r="B105" s="24" t="str">
        <x:v>POST 后道阶段</x:v>
      </x:c>
      <x:c r="C105" s="24" t="str">
        <x:v>后道工序节点</x:v>
      </x:c>
      <x:c r="D105" s="24" t="str">
        <x:v>装扣子节点</x:v>
      </x:c>
      <x:c r="E105" s="24" t="str">
        <x:v>不生成独立加工单；作为后道实际工序单项目明细</x:v>
      </x:c>
      <x:c r="F105" s="34" t="str">
        <x:v>生产单补料</x:v>
      </x:c>
      <x:c r="G105" s="34" t="str">
        <x:v>待确认</x:v>
      </x:c>
      <x:c r="H105" s="34" t="str">
        <x:v>如适用则整个任务</x:v>
      </x:c>
      <x:c r="I105" s="34" t="str">
        <x:v>否</x:v>
      </x:c>
      <x:c r="J105" s="34" t="str">
        <x:v>是</x:v>
      </x:c>
      <x:c r="K105" s="24" t="str">
        <x:v>后道返工对象 + SKU行</x:v>
      </x:c>
      <x:c r="L105" s="34" t="str">
        <x:v>否</x:v>
      </x:c>
      <x:c r="M105" s="34" t="str">
        <x:v>待确认</x:v>
      </x:c>
      <x:c r="N105" s="34" t="str">
        <x:v>待确认</x:v>
      </x:c>
      <x:c r="O105" s="34" t="str">
        <x:v>待确认</x:v>
      </x:c>
      <x:c r="P105" s="24" t="str">
        <x:v>随后道任务承接工厂</x:v>
      </x:c>
      <x:c r="Q105" s="24" t="str">
        <x:v>待确认该来源是否产生此类任务/加工单</x:v>
      </x:c>
      <x:c r="R105" s="24" t="str">
        <x:v>src/data/fcs/post-finishing-domain.ts；src/data/fcs/process-craft-dict.ts</x:v>
      </x:c>
      <x:c r="S105" s="34" t="str">
        <x:v>待确认</x:v>
      </x:c>
      <x:c r="T105" s="24" t="str">
        <x:v>装扣子返工/补做是否使用生产单补料来源尚未确认。</x:v>
      </x:c>
    </x:row>
    <x:row r="106" ht="64" customHeight="1">
      <x:c r="A106" s="34" t="str">
        <x:v>M-102</x:v>
      </x:c>
      <x:c r="B106" s="24" t="str">
        <x:v>POST 后道阶段</x:v>
      </x:c>
      <x:c r="C106" s="24" t="str">
        <x:v>后道工序节点</x:v>
      </x:c>
      <x:c r="D106" s="24" t="str">
        <x:v>装扣子节点</x:v>
      </x:c>
      <x:c r="E106" s="24" t="str">
        <x:v>不生成独立加工单；作为后道实际工序单项目明细</x:v>
      </x:c>
      <x:c r="F106" s="34" t="str">
        <x:v>备货采购（采购）</x:v>
      </x:c>
      <x:c r="G106" s="34" t="str">
        <x:v>不适用</x:v>
      </x:c>
      <x:c r="H106" s="34" t="str">
        <x:v>不适用</x:v>
      </x:c>
      <x:c r="I106" s="34" t="str">
        <x:v>不适用</x:v>
      </x:c>
      <x:c r="J106" s="34" t="str">
        <x:v>不适用</x:v>
      </x:c>
      <x:c r="K106" s="24" t="str">
        <x:v>后道工序单SKU行 + 工序项目</x:v>
      </x:c>
      <x:c r="L106" s="34" t="str">
        <x:v>不适用</x:v>
      </x:c>
      <x:c r="M106" s="34" t="str">
        <x:v>不适用</x:v>
      </x:c>
      <x:c r="N106" s="34" t="str">
        <x:v>不适用</x:v>
      </x:c>
      <x:c r="O106" s="34" t="str">
        <x:v>不适用</x:v>
      </x:c>
      <x:c r="P106" s="24" t="str">
        <x:v>随后道任务承接工厂</x:v>
      </x:c>
      <x:c r="Q106" s="24" t="str">
        <x:v>不适用</x:v>
      </x:c>
      <x:c r="R106" s="24" t="str">
        <x:v>src/data/fcs/post-finishing-domain.ts；src/data/fcs/process-craft-dict.ts</x:v>
      </x:c>
      <x:c r="S106" s="34" t="str">
        <x:v>已确认</x:v>
      </x:c>
      <x:c r="T106" s="24" t="str">
        <x:v>采购/备货不直接形成后道工序节点。</x:v>
      </x:c>
    </x:row>
    <x:row r="107" ht="64" customHeight="1">
      <x:c r="A107" s="34" t="str">
        <x:v>M-103</x:v>
      </x:c>
      <x:c r="B107" s="24" t="str">
        <x:v>POST 后道阶段</x:v>
      </x:c>
      <x:c r="C107" s="24" t="str">
        <x:v>后道工序节点</x:v>
      </x:c>
      <x:c r="D107" s="24" t="str">
        <x:v>熨烫节点</x:v>
      </x:c>
      <x:c r="E107" s="24" t="str">
        <x:v>不生成独立加工单；作为后道实际工序单项目明细</x:v>
      </x:c>
      <x:c r="F107" s="34" t="str">
        <x:v>生产单</x:v>
      </x:c>
      <x:c r="G107" s="34" t="str">
        <x:v>适用</x:v>
      </x:c>
      <x:c r="H107" s="34" t="str">
        <x:v>不独立分配；随整个后道任务</x:v>
      </x:c>
      <x:c r="I107" s="34" t="str">
        <x:v>否</x:v>
      </x:c>
      <x:c r="J107" s="34" t="str">
        <x:v>是</x:v>
      </x:c>
      <x:c r="K107" s="24" t="str">
        <x:v>后道工序单SKU行 + 工序项目</x:v>
      </x:c>
      <x:c r="L107" s="34" t="str">
        <x:v>否</x:v>
      </x:c>
      <x:c r="M107" s="34" t="str">
        <x:v>不生成独立加工单</x:v>
      </x:c>
      <x:c r="N107" s="34" t="str">
        <x:v>后道实际工序单内项目</x:v>
      </x:c>
      <x:c r="O107" s="34" t="str">
        <x:v>是，作为工序项目明细</x:v>
      </x:c>
      <x:c r="P107" s="24" t="str">
        <x:v>随后道任务承接工厂</x:v>
      </x:c>
      <x:c r="Q107" s="24" t="str">
        <x:v>熨烫不作为独立可分配任务；随整张后道任务/实际工序单执行。</x:v>
      </x:c>
      <x:c r="R107" s="24" t="str">
        <x:v>src/data/fcs/post-finishing-domain.ts；src/data/fcs/process-craft-dict.ts</x:v>
      </x:c>
      <x:c r="S107" s="34" t="str">
        <x:v>部分确认</x:v>
      </x:c>
      <x:c r="T107" s="24" t="str">
        <x:v>当前代码事实明确；是否保留独立“任务”概念待统一模型时确认。</x:v>
      </x:c>
    </x:row>
    <x:row r="108" ht="64" customHeight="1">
      <x:c r="A108" s="34" t="str">
        <x:v>M-104</x:v>
      </x:c>
      <x:c r="B108" s="24" t="str">
        <x:v>POST 后道阶段</x:v>
      </x:c>
      <x:c r="C108" s="24" t="str">
        <x:v>后道工序节点</x:v>
      </x:c>
      <x:c r="D108" s="24" t="str">
        <x:v>熨烫节点</x:v>
      </x:c>
      <x:c r="E108" s="24" t="str">
        <x:v>不生成独立加工单；作为后道实际工序单项目明细</x:v>
      </x:c>
      <x:c r="F108" s="34" t="str">
        <x:v>生产单补料</x:v>
      </x:c>
      <x:c r="G108" s="34" t="str">
        <x:v>待确认</x:v>
      </x:c>
      <x:c r="H108" s="34" t="str">
        <x:v>如适用则整个任务</x:v>
      </x:c>
      <x:c r="I108" s="34" t="str">
        <x:v>否</x:v>
      </x:c>
      <x:c r="J108" s="34" t="str">
        <x:v>是</x:v>
      </x:c>
      <x:c r="K108" s="24" t="str">
        <x:v>后道返工对象 + SKU行</x:v>
      </x:c>
      <x:c r="L108" s="34" t="str">
        <x:v>否</x:v>
      </x:c>
      <x:c r="M108" s="34" t="str">
        <x:v>待确认</x:v>
      </x:c>
      <x:c r="N108" s="34" t="str">
        <x:v>待确认</x:v>
      </x:c>
      <x:c r="O108" s="34" t="str">
        <x:v>待确认</x:v>
      </x:c>
      <x:c r="P108" s="24" t="str">
        <x:v>随后道任务承接工厂</x:v>
      </x:c>
      <x:c r="Q108" s="24" t="str">
        <x:v>待确认该来源是否产生此类任务/加工单</x:v>
      </x:c>
      <x:c r="R108" s="24" t="str">
        <x:v>src/data/fcs/post-finishing-domain.ts；src/data/fcs/process-craft-dict.ts</x:v>
      </x:c>
      <x:c r="S108" s="34" t="str">
        <x:v>待确认</x:v>
      </x:c>
      <x:c r="T108" s="24" t="str">
        <x:v>熨烫返工/补做是否使用生产单补料来源尚未确认。</x:v>
      </x:c>
    </x:row>
    <x:row r="109" ht="64" customHeight="1">
      <x:c r="A109" s="34" t="str">
        <x:v>M-105</x:v>
      </x:c>
      <x:c r="B109" s="24" t="str">
        <x:v>POST 后道阶段</x:v>
      </x:c>
      <x:c r="C109" s="24" t="str">
        <x:v>后道工序节点</x:v>
      </x:c>
      <x:c r="D109" s="24" t="str">
        <x:v>熨烫节点</x:v>
      </x:c>
      <x:c r="E109" s="24" t="str">
        <x:v>不生成独立加工单；作为后道实际工序单项目明细</x:v>
      </x:c>
      <x:c r="F109" s="34" t="str">
        <x:v>备货采购（采购）</x:v>
      </x:c>
      <x:c r="G109" s="34" t="str">
        <x:v>不适用</x:v>
      </x:c>
      <x:c r="H109" s="34" t="str">
        <x:v>不适用</x:v>
      </x:c>
      <x:c r="I109" s="34" t="str">
        <x:v>不适用</x:v>
      </x:c>
      <x:c r="J109" s="34" t="str">
        <x:v>不适用</x:v>
      </x:c>
      <x:c r="K109" s="24" t="str">
        <x:v>后道工序单SKU行 + 工序项目</x:v>
      </x:c>
      <x:c r="L109" s="34" t="str">
        <x:v>不适用</x:v>
      </x:c>
      <x:c r="M109" s="34" t="str">
        <x:v>不适用</x:v>
      </x:c>
      <x:c r="N109" s="34" t="str">
        <x:v>不适用</x:v>
      </x:c>
      <x:c r="O109" s="34" t="str">
        <x:v>不适用</x:v>
      </x:c>
      <x:c r="P109" s="24" t="str">
        <x:v>随后道任务承接工厂</x:v>
      </x:c>
      <x:c r="Q109" s="24" t="str">
        <x:v>不适用</x:v>
      </x:c>
      <x:c r="R109" s="24" t="str">
        <x:v>src/data/fcs/post-finishing-domain.ts；src/data/fcs/process-craft-dict.ts</x:v>
      </x:c>
      <x:c r="S109" s="34" t="str">
        <x:v>已确认</x:v>
      </x:c>
      <x:c r="T109" s="24" t="str">
        <x:v>采购/备货不直接形成后道工序节点。</x:v>
      </x:c>
    </x:row>
    <x:row r="110" ht="64" customHeight="1">
      <x:c r="A110" s="34" t="str">
        <x:v>M-106</x:v>
      </x:c>
      <x:c r="B110" s="24" t="str">
        <x:v>POST 后道阶段</x:v>
      </x:c>
      <x:c r="C110" s="24" t="str">
        <x:v>后道工序节点</x:v>
      </x:c>
      <x:c r="D110" s="24" t="str">
        <x:v>包装节点</x:v>
      </x:c>
      <x:c r="E110" s="24" t="str">
        <x:v>不生成独立加工单；作为后道实际工序单项目明细</x:v>
      </x:c>
      <x:c r="F110" s="34" t="str">
        <x:v>生产单</x:v>
      </x:c>
      <x:c r="G110" s="34" t="str">
        <x:v>适用</x:v>
      </x:c>
      <x:c r="H110" s="34" t="str">
        <x:v>不独立分配；随整个后道任务</x:v>
      </x:c>
      <x:c r="I110" s="34" t="str">
        <x:v>否</x:v>
      </x:c>
      <x:c r="J110" s="34" t="str">
        <x:v>是</x:v>
      </x:c>
      <x:c r="K110" s="24" t="str">
        <x:v>后道工序单SKU行 + 工序项目</x:v>
      </x:c>
      <x:c r="L110" s="34" t="str">
        <x:v>否</x:v>
      </x:c>
      <x:c r="M110" s="34" t="str">
        <x:v>不生成独立加工单</x:v>
      </x:c>
      <x:c r="N110" s="34" t="str">
        <x:v>后道实际工序单内项目</x:v>
      </x:c>
      <x:c r="O110" s="34" t="str">
        <x:v>是，作为工序项目明细</x:v>
      </x:c>
      <x:c r="P110" s="24" t="str">
        <x:v>随后道任务承接工厂</x:v>
      </x:c>
      <x:c r="Q110" s="24" t="str">
        <x:v>包装不作为独立可分配任务；随整张后道任务/实际工序单执行。</x:v>
      </x:c>
      <x:c r="R110" s="24" t="str">
        <x:v>src/data/fcs/post-finishing-domain.ts；src/data/fcs/process-craft-dict.ts</x:v>
      </x:c>
      <x:c r="S110" s="34" t="str">
        <x:v>部分确认</x:v>
      </x:c>
      <x:c r="T110" s="24" t="str">
        <x:v>当前代码事实明确；是否保留独立“任务”概念待统一模型时确认。</x:v>
      </x:c>
    </x:row>
    <x:row r="111" ht="64" customHeight="1">
      <x:c r="A111" s="34" t="str">
        <x:v>M-107</x:v>
      </x:c>
      <x:c r="B111" s="24" t="str">
        <x:v>POST 后道阶段</x:v>
      </x:c>
      <x:c r="C111" s="24" t="str">
        <x:v>后道工序节点</x:v>
      </x:c>
      <x:c r="D111" s="24" t="str">
        <x:v>包装节点</x:v>
      </x:c>
      <x:c r="E111" s="24" t="str">
        <x:v>不生成独立加工单；作为后道实际工序单项目明细</x:v>
      </x:c>
      <x:c r="F111" s="34" t="str">
        <x:v>生产单补料</x:v>
      </x:c>
      <x:c r="G111" s="34" t="str">
        <x:v>待确认</x:v>
      </x:c>
      <x:c r="H111" s="34" t="str">
        <x:v>如适用则整个任务</x:v>
      </x:c>
      <x:c r="I111" s="34" t="str">
        <x:v>否</x:v>
      </x:c>
      <x:c r="J111" s="34" t="str">
        <x:v>是</x:v>
      </x:c>
      <x:c r="K111" s="24" t="str">
        <x:v>后道返工对象 + SKU行</x:v>
      </x:c>
      <x:c r="L111" s="34" t="str">
        <x:v>否</x:v>
      </x:c>
      <x:c r="M111" s="34" t="str">
        <x:v>待确认</x:v>
      </x:c>
      <x:c r="N111" s="34" t="str">
        <x:v>待确认</x:v>
      </x:c>
      <x:c r="O111" s="34" t="str">
        <x:v>待确认</x:v>
      </x:c>
      <x:c r="P111" s="24" t="str">
        <x:v>随后道任务承接工厂</x:v>
      </x:c>
      <x:c r="Q111" s="24" t="str">
        <x:v>待确认该来源是否产生此类任务/加工单</x:v>
      </x:c>
      <x:c r="R111" s="24" t="str">
        <x:v>src/data/fcs/post-finishing-domain.ts；src/data/fcs/process-craft-dict.ts</x:v>
      </x:c>
      <x:c r="S111" s="34" t="str">
        <x:v>待确认</x:v>
      </x:c>
      <x:c r="T111" s="24" t="str">
        <x:v>包装返工/补做是否使用生产单补料来源尚未确认。</x:v>
      </x:c>
    </x:row>
    <x:row r="112" ht="64" customHeight="1">
      <x:c r="A112" s="34" t="str">
        <x:v>M-108</x:v>
      </x:c>
      <x:c r="B112" s="24" t="str">
        <x:v>POST 后道阶段</x:v>
      </x:c>
      <x:c r="C112" s="24" t="str">
        <x:v>后道工序节点</x:v>
      </x:c>
      <x:c r="D112" s="24" t="str">
        <x:v>包装节点</x:v>
      </x:c>
      <x:c r="E112" s="24" t="str">
        <x:v>不生成独立加工单；作为后道实际工序单项目明细</x:v>
      </x:c>
      <x:c r="F112" s="34" t="str">
        <x:v>备货采购（采购）</x:v>
      </x:c>
      <x:c r="G112" s="34" t="str">
        <x:v>不适用</x:v>
      </x:c>
      <x:c r="H112" s="34" t="str">
        <x:v>不适用</x:v>
      </x:c>
      <x:c r="I112" s="34" t="str">
        <x:v>不适用</x:v>
      </x:c>
      <x:c r="J112" s="34" t="str">
        <x:v>不适用</x:v>
      </x:c>
      <x:c r="K112" s="24" t="str">
        <x:v>后道工序单SKU行 + 工序项目</x:v>
      </x:c>
      <x:c r="L112" s="34" t="str">
        <x:v>不适用</x:v>
      </x:c>
      <x:c r="M112" s="34" t="str">
        <x:v>不适用</x:v>
      </x:c>
      <x:c r="N112" s="34" t="str">
        <x:v>不适用</x:v>
      </x:c>
      <x:c r="O112" s="34" t="str">
        <x:v>不适用</x:v>
      </x:c>
      <x:c r="P112" s="24" t="str">
        <x:v>随后道任务承接工厂</x:v>
      </x:c>
      <x:c r="Q112" s="24" t="str">
        <x:v>不适用</x:v>
      </x:c>
      <x:c r="R112" s="24" t="str">
        <x:v>src/data/fcs/post-finishing-domain.ts；src/data/fcs/process-craft-dict.ts</x:v>
      </x:c>
      <x:c r="S112" s="34" t="str">
        <x:v>已确认</x:v>
      </x:c>
      <x:c r="T112" s="24" t="str">
        <x:v>采购/备货不直接形成后道工序节点。</x:v>
      </x:c>
    </x:row>
    <x:row r="113" ht="64" customHeight="1">
      <x:c r="A113" s="34" t="str">
        <x:v>M-109</x:v>
      </x:c>
      <x:c r="B113" s="24" t="str">
        <x:v>辅料加工</x:v>
      </x:c>
      <x:c r="C113" s="24" t="str">
        <x:v>辅料工厂</x:v>
      </x:c>
      <x:c r="D113" s="24" t="str">
        <x:v>花边加工任务</x:v>
      </x:c>
      <x:c r="E113" s="24" t="str">
        <x:v>花边生产单/加工单</x:v>
      </x:c>
      <x:c r="F113" s="34" t="str">
        <x:v>生产单</x:v>
      </x:c>
      <x:c r="G113" s="34" t="str">
        <x:v>不适用</x:v>
      </x:c>
      <x:c r="H113" s="34" t="str">
        <x:v>不适用</x:v>
      </x:c>
      <x:c r="I113" s="34" t="str">
        <x:v>不适用</x:v>
      </x:c>
      <x:c r="J113" s="34" t="str">
        <x:v>不适用</x:v>
      </x:c>
      <x:c r="K113" s="24" t="str">
        <x:v>采购单 + 花边SKU；同一采购单SKU可聚合多个来源行/款式</x:v>
      </x:c>
      <x:c r="L113" s="34" t="str">
        <x:v>不适用</x:v>
      </x:c>
      <x:c r="M113" s="34" t="str">
        <x:v>不适用</x:v>
      </x:c>
      <x:c r="N113" s="34" t="str">
        <x:v>不适用</x:v>
      </x:c>
      <x:c r="O113" s="34" t="str">
        <x:v>不适用</x:v>
      </x:c>
      <x:c r="P113" s="24" t="str">
        <x:v>对应花边厂（当前Mock：Renda Jaya）</x:v>
      </x:c>
      <x:c r="Q113" s="24" t="str">
        <x:v>不适用</x:v>
      </x:c>
      <x:c r="R113" s="24" t="str">
        <x:v>src/data/fcs/lace-factory-domain.ts；src/data/fcs/lace-production-generation-key.ts</x:v>
      </x:c>
      <x:c r="S113" s="34" t="str">
        <x:v>已确认</x:v>
      </x:c>
      <x:c r="T113" s="24" t="str">
        <x:v>即使服务于某张生产单，花边厂加工的直接需求来源仍归采购，不重复记为生产单来源。</x:v>
      </x:c>
    </x:row>
    <x:row r="114" ht="64" customHeight="1">
      <x:c r="A114" s="34" t="str">
        <x:v>M-110</x:v>
      </x:c>
      <x:c r="B114" s="24" t="str">
        <x:v>辅料加工</x:v>
      </x:c>
      <x:c r="C114" s="24" t="str">
        <x:v>辅料工厂</x:v>
      </x:c>
      <x:c r="D114" s="24" t="str">
        <x:v>花边加工任务</x:v>
      </x:c>
      <x:c r="E114" s="24" t="str">
        <x:v>花边生产单/加工单</x:v>
      </x:c>
      <x:c r="F114" s="34" t="str">
        <x:v>生产单补料</x:v>
      </x:c>
      <x:c r="G114" s="34" t="str">
        <x:v>不适用</x:v>
      </x:c>
      <x:c r="H114" s="34" t="str">
        <x:v>不适用</x:v>
      </x:c>
      <x:c r="I114" s="34" t="str">
        <x:v>不适用</x:v>
      </x:c>
      <x:c r="J114" s="34" t="str">
        <x:v>不适用</x:v>
      </x:c>
      <x:c r="K114" s="24" t="str">
        <x:v>采购单 + 花边SKU；同一采购单SKU可聚合多个来源行/款式</x:v>
      </x:c>
      <x:c r="L114" s="34" t="str">
        <x:v>不适用</x:v>
      </x:c>
      <x:c r="M114" s="34" t="str">
        <x:v>不适用</x:v>
      </x:c>
      <x:c r="N114" s="34" t="str">
        <x:v>不适用</x:v>
      </x:c>
      <x:c r="O114" s="34" t="str">
        <x:v>不适用</x:v>
      </x:c>
      <x:c r="P114" s="24" t="str">
        <x:v>对应花边厂（当前Mock：Renda Jaya）</x:v>
      </x:c>
      <x:c r="Q114" s="24" t="str">
        <x:v>不适用</x:v>
      </x:c>
      <x:c r="R114" s="24" t="str">
        <x:v>src/data/fcs/lace-factory-domain.ts；src/data/fcs/lace-production-generation-key.ts</x:v>
      </x:c>
      <x:c r="S114" s="34" t="str">
        <x:v>已确认</x:v>
      </x:c>
      <x:c r="T114" s="24" t="str">
        <x:v>补料引起的花边采购仍应形成采购来源；不重复记为生产单补料来源。</x:v>
      </x:c>
    </x:row>
    <x:row r="115" ht="64" customHeight="1">
      <x:c r="A115" s="34" t="str">
        <x:v>M-111</x:v>
      </x:c>
      <x:c r="B115" s="24" t="str">
        <x:v>辅料加工</x:v>
      </x:c>
      <x:c r="C115" s="24" t="str">
        <x:v>辅料工厂</x:v>
      </x:c>
      <x:c r="D115" s="24" t="str">
        <x:v>花边加工任务</x:v>
      </x:c>
      <x:c r="E115" s="24" t="str">
        <x:v>花边生产单/加工单</x:v>
      </x:c>
      <x:c r="F115" s="34" t="str">
        <x:v>备货采购（采购）</x:v>
      </x:c>
      <x:c r="G115" s="34" t="str">
        <x:v>适用</x:v>
      </x:c>
      <x:c r="H115" s="34" t="str">
        <x:v>整个任务</x:v>
      </x:c>
      <x:c r="I115" s="34" t="str">
        <x:v>否</x:v>
      </x:c>
      <x:c r="J115" s="34" t="str">
        <x:v>是</x:v>
      </x:c>
      <x:c r="K115" s="24" t="str">
        <x:v>采购单 + 花边SKU；保留全部采购来源行/款式</x:v>
      </x:c>
      <x:c r="L115" s="34" t="str">
        <x:v>否</x:v>
      </x:c>
      <x:c r="M115" s="34" t="str">
        <x:v>按需求明细生成下游单据</x:v>
      </x:c>
      <x:c r="N115" s="34" t="str">
        <x:v>purchaseOrderId + skuId</x:v>
      </x:c>
      <x:c r="O115" s="34" t="str">
        <x:v>是</x:v>
      </x:c>
      <x:c r="P115" s="24" t="str">
        <x:v>对应花边厂（当前Mock：Renda Jaya）</x:v>
      </x:c>
      <x:c r="Q115" s="24" t="str">
        <x:v>花边加工任务整体分配给一个花边厂；按采购单SKU需求明细生成花边生产单，单内保留全部来源行。</x:v>
      </x:c>
      <x:c r="R115" s="24" t="str">
        <x:v>src/data/fcs/lace-factory-domain.ts；src/data/fcs/lace-production-generation-key.ts</x:v>
      </x:c>
      <x:c r="S115" s="34" t="str">
        <x:v>代码冲突</x:v>
      </x:c>
      <x:c r="T115" s="24" t="str">
        <x:v>下游生成规则已有代码；当前模型缺少可独立分配的“花边加工任务”层，需要确认是补任务层还是将工厂指定视为任务分配。</x:v>
      </x:c>
    </x:row>
  </x:sheetData>
  <x:mergeCells>
    <x:mergeCell ref="A1:T1"/>
    <x:mergeCell ref="A2:T2"/>
  </x:mergeCells>
  <x:conditionalFormatting sqref="S5:S115">
    <x:cfRule type="containsText" dxfId="0" priority="1" operator="containsText" text="已确认"/>
    <x:cfRule type="containsText" dxfId="1" priority="2" operator="containsText" text="部分确认"/>
    <x:cfRule type="containsText" dxfId="2" priority="3" operator="containsText" text="待确认"/>
    <x:cfRule type="containsText" dxfId="3" priority="4" operator="containsText" text="代码冲突"/>
  </x:conditionalFormatting>
  <x:conditionalFormatting sqref="G5:G115">
    <x:cfRule type="containsText" dxfId="4" priority="5" operator="containsText" text="适用"/>
    <x:cfRule type="containsText" dxfId="5" priority="6" operator="containsText" text="条件适用"/>
    <x:cfRule type="containsText" dxfId="6" priority="7" operator="containsText" text="不适用"/>
    <x:cfRule type="containsText" dxfId="7" priority="8" operator="containsText" text="待确认"/>
  </x:conditionalFormatting>
  <x:conditionalFormatting sqref="H5:H115">
    <x:cfRule type="containsText" dxfId="8" priority="9" operator="containsText" text="按明细"/>
  </x:conditionalFormatting>
  <x:conditionalFormatting sqref="I5:I115">
    <x:cfRule type="containsText" dxfId="9" priority="10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8c421ae75d6f40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1.670000076293945" hidden="0" customWidth="1"/>
    <x:col min="3" max="3" width="13.329999923706055" hidden="0" customWidth="1"/>
    <x:col min="4" max="4" width="21.110000610351562" hidden="0" customWidth="1"/>
    <x:col min="5" max="5" width="21.110000610351562" hidden="0" customWidth="1"/>
    <x:col min="6" max="6" width="16.110000610351562" hidden="0" customWidth="1"/>
    <x:col min="7" max="7" width="34.439998626708984" hidden="0" customWidth="1"/>
    <x:col min="8" max="8" width="17.219999313354492" hidden="0" customWidth="1"/>
    <x:col min="9" max="9" width="28.889999389648438" hidden="0" customWidth="1"/>
    <x:col min="10" max="10" width="26.670000076293945" hidden="0" customWidth="1"/>
    <x:col min="11" max="11" width="30" hidden="0" customWidth="1"/>
    <x:col min="12" max="12" width="20" hidden="0" customWidth="1"/>
    <x:col min="13" max="13" width="25.559999465942383" hidden="0" customWidth="1"/>
    <x:col min="14" max="14" width="33.33000183105469" hidden="0" customWidth="1"/>
  </x:cols>
  <x:sheetData>
    <x:row r="1" ht="30" customHeight="1">
      <x:c r="A1" s="3" t="str">
        <x:v>任务与单据类型总表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共 37 类；本页不按需求来源展开，用于快速确认任务对象、明细定义、下游单据和当前代码模型。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36" customHeight="1">
      <x:c r="A4" s="15" t="str">
        <x:v>类型编号</x:v>
      </x:c>
      <x:c r="B4" s="16" t="str">
        <x:v>阶段</x:v>
      </x:c>
      <x:c r="C4" s="16" t="str">
        <x:v>业务域</x:v>
      </x:c>
      <x:c r="D4" s="16" t="str">
        <x:v>任务/加工单类型</x:v>
      </x:c>
      <x:c r="E4" s="16" t="str">
        <x:v>下游单据</x:v>
      </x:c>
      <x:c r="F4" s="16" t="str">
        <x:v>加工对象</x:v>
      </x:c>
      <x:c r="G4" s="16" t="str">
        <x:v>需求明细定义</x:v>
      </x:c>
      <x:c r="H4" s="16" t="str">
        <x:v>确认的分配粒度</x:v>
      </x:c>
      <x:c r="I4" s="16" t="str">
        <x:v>确认/暂定的生成粒度</x:v>
      </x:c>
      <x:c r="J4" s="16" t="str">
        <x:v>当前代码对象</x:v>
      </x:c>
      <x:c r="K4" s="16" t="str">
        <x:v>当前代码状态</x:v>
      </x:c>
      <x:c r="L4" s="16" t="str">
        <x:v>承接工厂/组织</x:v>
      </x:c>
      <x:c r="M4" s="16" t="str">
        <x:v>适用来源范围</x:v>
      </x:c>
      <x:c r="N4" s="17" t="str">
        <x:v>备注</x:v>
      </x:c>
    </x:row>
    <x:row r="5" ht="58" customHeight="1">
      <x:c r="A5" s="23" t="str">
        <x:v>PREP-PRINT</x:v>
      </x:c>
      <x:c r="B5" s="23" t="str">
        <x:v>PREP 准备阶段</x:v>
      </x:c>
      <x:c r="C5" s="23" t="str">
        <x:v>生产准备工艺</x:v>
      </x:c>
      <x:c r="D5" s="23" t="str">
        <x:v>印花准备任务</x:v>
      </x:c>
      <x:c r="E5" s="23" t="str">
        <x:v>印花加工单</x:v>
      </x:c>
      <x:c r="F5" s="23" t="str">
        <x:v>面料/需印花对象</x:v>
      </x:c>
      <x:c r="G5" s="23" t="str">
        <x:v>加工前对象（面料/BOM物料）+ 花型/图案版本</x:v>
      </x:c>
      <x:c r="H5" s="23" t="str">
        <x:v>整个任务</x:v>
      </x:c>
      <x:c r="I5" s="23" t="str">
        <x:v>按需求明细生成加工单</x:v>
      </x:c>
      <x:c r="J5" s="23" t="str">
        <x:v>ProcessWorkOrder / PrintingWorkOrderBusinessRecord</x:v>
      </x:c>
      <x:c r="K5" s="23" t="str">
        <x:v>已有加工单；旧字典仍按COLOR粒度</x:v>
      </x:c>
      <x:c r="L5" s="23" t="str">
        <x:v>对应准备工艺承接工厂（尚未统一工厂主数据口径）</x:v>
      </x:c>
      <x:c r="M5" s="23" t="str">
        <x:v>生产单；生产单补料；部分工艺支持备货采购</x:v>
      </x:c>
      <x:c r="N5" s="23" t="str"/>
    </x:row>
    <x:row r="6" ht="58" customHeight="1">
      <x:c r="A6" s="24" t="str">
        <x:v>PREP-DYE</x:v>
      </x:c>
      <x:c r="B6" s="24" t="str">
        <x:v>PREP 准备阶段</x:v>
      </x:c>
      <x:c r="C6" s="24" t="str">
        <x:v>生产准备工艺</x:v>
      </x:c>
      <x:c r="D6" s="24" t="str">
        <x:v>染色准备任务</x:v>
      </x:c>
      <x:c r="E6" s="24" t="str">
        <x:v>染色加工单</x:v>
      </x:c>
      <x:c r="F6" s="24" t="str">
        <x:v>面料/纱线/BOM物料</x:v>
      </x:c>
      <x:c r="G6" s="24" t="str">
        <x:v>BOM物料/加工前对象 + 目标颜色</x:v>
      </x:c>
      <x:c r="H6" s="24" t="str">
        <x:v>整个任务</x:v>
      </x:c>
      <x:c r="I6" s="24" t="str">
        <x:v>按需求明细生成加工单</x:v>
      </x:c>
      <x:c r="J6" s="24" t="str">
        <x:v>ProcessWorkOrder / DyeWorkOrder</x:v>
      </x:c>
      <x:c r="K6" s="24" t="str">
        <x:v>已有加工单；旧字典仍按COLOR粒度</x:v>
      </x:c>
      <x:c r="L6" s="24" t="str">
        <x:v>对应准备工艺承接工厂（尚未统一工厂主数据口径）</x:v>
      </x:c>
      <x:c r="M6" s="24" t="str">
        <x:v>生产单；生产单补料；部分工艺支持备货采购</x:v>
      </x:c>
      <x:c r="N6" s="24" t="str"/>
    </x:row>
    <x:row r="7" ht="58" customHeight="1">
      <x:c r="A7" s="24" t="str">
        <x:v>PREP-WATER</x:v>
      </x:c>
      <x:c r="B7" s="24" t="str">
        <x:v>PREP 准备阶段</x:v>
      </x:c>
      <x:c r="C7" s="24" t="str">
        <x:v>生产准备工艺</x:v>
      </x:c>
      <x:c r="D7" s="24" t="str">
        <x:v>水溶准备任务</x:v>
      </x:c>
      <x:c r="E7" s="24" t="str">
        <x:v>水溶加工单</x:v>
      </x:c>
      <x:c r="F7" s="24" t="str">
        <x:v>BOM物料</x:v>
      </x:c>
      <x:c r="G7" s="24" t="str">
        <x:v>BOM物料行/物料身份</x:v>
      </x:c>
      <x:c r="H7" s="24" t="str">
        <x:v>整个任务</x:v>
      </x:c>
      <x:c r="I7" s="24" t="str">
        <x:v>按需求明细生成加工单</x:v>
      </x:c>
      <x:c r="J7" s="24" t="str">
        <x:v>ProcessWorkOrder / WaterSolubleWorkOrder</x:v>
      </x:c>
      <x:c r="K7" s="24" t="str">
        <x:v>已有独立加工单模型</x:v>
      </x:c>
      <x:c r="L7" s="24" t="str">
        <x:v>对应准备工艺承接工厂（尚未统一工厂主数据口径）</x:v>
      </x:c>
      <x:c r="M7" s="24" t="str">
        <x:v>生产单；生产单补料；部分工艺支持备货采购</x:v>
      </x:c>
      <x:c r="N7" s="24" t="str"/>
    </x:row>
    <x:row r="8" ht="58" customHeight="1">
      <x:c r="A8" s="24" t="str">
        <x:v>PREP-SHRINK</x:v>
      </x:c>
      <x:c r="B8" s="24" t="str">
        <x:v>PREP 准备阶段</x:v>
      </x:c>
      <x:c r="C8" s="24" t="str">
        <x:v>生产准备工艺</x:v>
      </x:c>
      <x:c r="D8" s="24" t="str">
        <x:v>缩水准备任务</x:v>
      </x:c>
      <x:c r="E8" s="24" t="str">
        <x:v>缩水加工单</x:v>
      </x:c>
      <x:c r="F8" s="24" t="str">
        <x:v>面料</x:v>
      </x:c>
      <x:c r="G8" s="24" t="str">
        <x:v>加工前对象/物料需求行（精确唯一键待确认）</x:v>
      </x:c>
      <x:c r="H8" s="24" t="str">
        <x:v>整个任务</x:v>
      </x:c>
      <x:c r="I8" s="24" t="str">
        <x:v>按需求明细生成加工单</x:v>
      </x:c>
      <x:c r="J8" s="24" t="str">
        <x:v>PREP_SHRINKING</x:v>
      </x:c>
      <x:c r="K8" s="24" t="str">
        <x:v>字典中存在但当前禁用；无完整加工单、分配和PDA闭环</x:v>
      </x:c>
      <x:c r="L8" s="24" t="str">
        <x:v>对应准备工艺承接工厂（尚未统一工厂主数据口径）</x:v>
      </x:c>
      <x:c r="M8" s="24" t="str">
        <x:v>生产单；生产单补料；部分工艺支持备货采购</x:v>
      </x:c>
      <x:c r="N8" s="24" t="str"/>
    </x:row>
    <x:row r="9" ht="58" customHeight="1">
      <x:c r="A9" s="24" t="str">
        <x:v>PREP-WASH</x:v>
      </x:c>
      <x:c r="B9" s="24" t="str">
        <x:v>PREP 准备阶段</x:v>
      </x:c>
      <x:c r="C9" s="24" t="str">
        <x:v>生产准备工艺</x:v>
      </x:c>
      <x:c r="D9" s="24" t="str">
        <x:v>洗水准备任务</x:v>
      </x:c>
      <x:c r="E9" s="24" t="str">
        <x:v>洗水加工单</x:v>
      </x:c>
      <x:c r="F9" s="24" t="str">
        <x:v>面料/半成品</x:v>
      </x:c>
      <x:c r="G9" s="24" t="str">
        <x:v>加工前对象/物料需求行（精确唯一键待确认）</x:v>
      </x:c>
      <x:c r="H9" s="24" t="str">
        <x:v>整个任务</x:v>
      </x:c>
      <x:c r="I9" s="24" t="str">
        <x:v>按需求明细生成加工单</x:v>
      </x:c>
      <x:c r="J9" s="24" t="str">
        <x:v>PREP_WASHING</x:v>
      </x:c>
      <x:c r="K9" s="24" t="str">
        <x:v>字典中存在但当前禁用；无完整加工单、分配和PDA闭环</x:v>
      </x:c>
      <x:c r="L9" s="24" t="str">
        <x:v>对应准备工艺承接工厂（尚未统一工厂主数据口径）</x:v>
      </x:c>
      <x:c r="M9" s="24" t="str">
        <x:v>生产单；生产单补料；部分工艺支持备货采购</x:v>
      </x:c>
      <x:c r="N9" s="24" t="str"/>
    </x:row>
    <x:row r="10" ht="58" customHeight="1">
      <x:c r="A10" s="24" t="str">
        <x:v>PROD-CUTTING</x:v>
      </x:c>
      <x:c r="B10" s="24" t="str">
        <x:v>PROD 生产阶段</x:v>
      </x:c>
      <x:c r="C10" s="24" t="str">
        <x:v>裁片</x:v>
      </x:c>
      <x:c r="D10" s="24" t="str">
        <x:v>裁片任务</x:v>
      </x:c>
      <x:c r="E10" s="24" t="str">
        <x:v>裁片单</x:v>
      </x:c>
      <x:c r="F10" s="24" t="str">
        <x:v>待裁面料/BOM物料</x:v>
      </x:c>
      <x:c r="G10" s="24" t="str">
        <x:v>物料 + 纸样</x:v>
      </x:c>
      <x:c r="H10" s="24" t="str">
        <x:v>整个任务</x:v>
      </x:c>
      <x:c r="I10" s="24" t="str">
        <x:v>按物料+纸样生成裁片单</x:v>
      </x:c>
      <x:c r="J10" s="24" t="str">
        <x:v>CuttingTaskRef → GeneratedCutOrderSourceRecord</x:v>
      </x:c>
      <x:c r="K10" s="24" t="str">
        <x:v>代码已表达任务下多张裁片单</x:v>
      </x:c>
      <x:c r="L10" s="24" t="str">
        <x:v>裁片任务承接工厂</x:v>
      </x:c>
      <x:c r="M10" s="24" t="str">
        <x:v>生产单；生产单补料（条件适用）</x:v>
      </x:c>
      <x:c r="N10" s="24" t="str"/>
    </x:row>
    <x:row r="11" ht="58" customHeight="1">
      <x:c r="A11" s="24" t="str">
        <x:v>PROD-SEW-INDEPENDENT</x:v>
      </x:c>
      <x:c r="B11" s="24" t="str">
        <x:v>PROD 生产阶段</x:v>
      </x:c>
      <x:c r="C11" s="24" t="str">
        <x:v>车缝</x:v>
      </x:c>
      <x:c r="D11" s="24" t="str">
        <x:v>独立车缝任务</x:v>
      </x:c>
      <x:c r="E11" s="24" t="str">
        <x:v>无独立加工单（任务即执行载体）</x:v>
      </x:c>
      <x:c r="F11" s="24" t="str">
        <x:v>完整成衣SKU</x:v>
      </x:c>
      <x:c r="G11" s="24" t="str">
        <x:v>完整成衣SKU（颜色+尺码+SKU编码）；同一SKU不可拆数量</x:v>
      </x:c>
      <x:c r="H11" s="24" t="str">
        <x:v>按明细</x:v>
      </x:c>
      <x:c r="I11" s="24" t="str">
        <x:v>不另生成加工单</x:v>
      </x:c>
      <x:c r="J11" s="24" t="str">
        <x:v>RuntimeProcessTask / TaskDetailRow</x:v>
      </x:c>
      <x:c r="K11" s="24" t="str">
        <x:v>当前脏工作树拟按SKU处理；需收口为唯一可选明细任务</x:v>
      </x:c>
      <x:c r="L11" s="24" t="str">
        <x:v>车缝任务承接工厂</x:v>
      </x:c>
      <x:c r="M11" s="24" t="str">
        <x:v>生产单</x:v>
      </x:c>
      <x:c r="N11" s="24" t="str"/>
    </x:row>
    <x:row r="12" ht="58" customHeight="1">
      <x:c r="A12" s="24" t="str">
        <x:v>PROD-MERGED-SEW-IRON</x:v>
      </x:c>
      <x:c r="B12" s="24" t="str">
        <x:v>PROD/POST 合并</x:v>
      </x:c>
      <x:c r="C12" s="24" t="str">
        <x:v>固定合并任务</x:v>
      </x:c>
      <x:c r="D12" s="24" t="str">
        <x:v>车缝+烫包</x:v>
      </x:c>
      <x:c r="E12" s="24" t="str">
        <x:v>无独立加工单（合并任务即执行载体）</x:v>
      </x:c>
      <x:c r="F12" s="24" t="str">
        <x:v>成衣需求</x:v>
      </x:c>
      <x:c r="G12" s="24" t="str">
        <x:v>完整成衣SKU需求明细（只读）</x:v>
      </x:c>
      <x:c r="H12" s="24" t="str">
        <x:v>整个任务</x:v>
      </x:c>
      <x:c r="I12" s="24" t="str">
        <x:v>不按SKU生成加工单</x:v>
      </x:c>
      <x:c r="J12" s="24" t="str">
        <x:v>MergedProductionTaskDefinition</x:v>
      </x:c>
      <x:c r="K12" s="24" t="str">
        <x:v>代码仍写SKU assignmentGranularity，与最新口径冲突</x:v>
      </x:c>
      <x:c r="L12" s="24" t="str">
        <x:v>合并任务承接工厂</x:v>
      </x:c>
      <x:c r="M12" s="24" t="str">
        <x:v>生产单</x:v>
      </x:c>
      <x:c r="N12" s="24" t="str"/>
    </x:row>
    <x:row r="13" ht="58" customHeight="1">
      <x:c r="A13" s="24" t="str">
        <x:v>PROD-MERGED-CUT-SEW-IRON</x:v>
      </x:c>
      <x:c r="B13" s="24" t="str">
        <x:v>PROD/POST 合并</x:v>
      </x:c>
      <x:c r="C13" s="24" t="str">
        <x:v>固定合并任务</x:v>
      </x:c>
      <x:c r="D13" s="24" t="str">
        <x:v>裁片+车缝+烫包</x:v>
      </x:c>
      <x:c r="E13" s="24" t="str">
        <x:v>裁片单（是否必须生成待最终确认）</x:v>
      </x:c>
      <x:c r="F13" s="24" t="str">
        <x:v>物料、纸样与成衣需求</x:v>
      </x:c>
      <x:c r="G13" s="24" t="str">
        <x:v>物料+纸样以及完整成衣SKU需求（只读）</x:v>
      </x:c>
      <x:c r="H13" s="24" t="str">
        <x:v>整个任务</x:v>
      </x:c>
      <x:c r="I13" s="24" t="str">
        <x:v>裁片单生成粒度待最终确认</x:v>
      </x:c>
      <x:c r="J13" s="24" t="str">
        <x:v>MergedProductionTaskDefinition / GeneratedCutOrderSourceRecord</x:v>
      </x:c>
      <x:c r="K13" s="24" t="str">
        <x:v>合并任务定义仍写SKU；裁片单代码支持物料+纸样</x:v>
      </x:c>
      <x:c r="L13" s="24" t="str">
        <x:v>合并任务承接工厂</x:v>
      </x:c>
      <x:c r="M13" s="24" t="str">
        <x:v>生产单</x:v>
      </x:c>
      <x:c r="N13" s="24" t="str"/>
    </x:row>
    <x:row r="14" ht="58" customHeight="1">
      <x:c r="A14" s="24" t="str">
        <x:v>PROD-WHOLE-ORDER</x:v>
      </x:c>
      <x:c r="B14" s="24" t="str">
        <x:v>PROD/POST 整单</x:v>
      </x:c>
      <x:c r="C14" s="24" t="str">
        <x:v>整单任务</x:v>
      </x:c>
      <x:c r="D14" s="24" t="str">
        <x:v>整单任务（KOL/小单等）</x:v>
      </x:c>
      <x:c r="E14" s="24" t="str">
        <x:v>不按需求明细另生成裁片单/加工单</x:v>
      </x:c>
      <x:c r="F14" s="24" t="str">
        <x:v>整张生产单</x:v>
      </x:c>
      <x:c r="G14" s="24" t="str">
        <x:v>生产单下全部SKU与工艺需求（只读）</x:v>
      </x:c>
      <x:c r="H14" s="24" t="str">
        <x:v>整个任务</x:v>
      </x:c>
      <x:c r="I14" s="24" t="str">
        <x:v>不按明细生成下游执行单</x:v>
      </x:c>
      <x:c r="J14" s="24" t="str">
        <x:v>WHOLE_ORDER_TASK / KOL-GOTO</x:v>
      </x:c>
      <x:c r="K14" s="24" t="str">
        <x:v>已有整单任务类型</x:v>
      </x:c>
      <x:c r="L14" s="24" t="str">
        <x:v>整单任务承接工厂</x:v>
      </x:c>
      <x:c r="M14" s="24" t="str">
        <x:v>生产单</x:v>
      </x:c>
      <x:c r="N14" s="24" t="str"/>
    </x:row>
    <x:row r="15" ht="58" customHeight="1">
      <x:c r="A15" s="24" t="str">
        <x:v>PROD-WOOL-GARMENT</x:v>
      </x:c>
      <x:c r="B15" s="24" t="str">
        <x:v>PROD 生产阶段</x:v>
      </x:c>
      <x:c r="C15" s="24" t="str">
        <x:v>毛织</x:v>
      </x:c>
      <x:c r="D15" s="24" t="str">
        <x:v>整件毛织任务</x:v>
      </x:c>
      <x:c r="E15" s="24" t="str">
        <x:v>毛织加工单</x:v>
      </x:c>
      <x:c r="F15" s="24" t="str">
        <x:v>整件毛织成衣</x:v>
      </x:c>
      <x:c r="G15" s="24" t="str">
        <x:v>成衣SKU输出计划行 + 用纱/BOM关联</x:v>
      </x:c>
      <x:c r="H15" s="24" t="str">
        <x:v>整个任务</x:v>
      </x:c>
      <x:c r="I15" s="24" t="str">
        <x:v>当前代码按任务建立一张加工单，单内多输出计划行</x:v>
      </x:c>
      <x:c r="J15" s="24" t="str">
        <x:v>WoolWorkOrder.outputPlanLines</x:v>
      </x:c>
      <x:c r="K15" s="24" t="str">
        <x:v>当前字典仍有SKU/DETAIL粒度，与最新全局口径冲突</x:v>
      </x:c>
      <x:c r="L15" s="24" t="str">
        <x:v>毛织任务承接工厂（当前Mock为自有毛织厂）</x:v>
      </x:c>
      <x:c r="M15" s="24" t="str">
        <x:v>生产单；生产单补料待确认</x:v>
      </x:c>
      <x:c r="N15" s="24" t="str"/>
    </x:row>
    <x:row r="16" ht="58" customHeight="1">
      <x:c r="A16" s="24" t="str">
        <x:v>PROD-WOOL-PART</x:v>
      </x:c>
      <x:c r="B16" s="24" t="str">
        <x:v>PROD 生产阶段</x:v>
      </x:c>
      <x:c r="C16" s="24" t="str">
        <x:v>毛织</x:v>
      </x:c>
      <x:c r="D16" s="24" t="str">
        <x:v>部位毛织任务</x:v>
      </x:c>
      <x:c r="E16" s="24" t="str">
        <x:v>毛织加工单</x:v>
      </x:c>
      <x:c r="F16" s="24" t="str">
        <x:v>毛织部位</x:v>
      </x:c>
      <x:c r="G16" s="24" t="str">
        <x:v>成衣SKU + 毛织部位 + 用纱/BOM关联</x:v>
      </x:c>
      <x:c r="H16" s="24" t="str">
        <x:v>整个任务</x:v>
      </x:c>
      <x:c r="I16" s="24" t="str">
        <x:v>当前代码按任务建立一张加工单，单内多输出计划行</x:v>
      </x:c>
      <x:c r="J16" s="24" t="str">
        <x:v>WoolWorkOrder.outputPlanLines</x:v>
      </x:c>
      <x:c r="K16" s="24" t="str">
        <x:v>当前字典仍有SKU/DETAIL粒度，与最新全局口径冲突</x:v>
      </x:c>
      <x:c r="L16" s="24" t="str">
        <x:v>毛织任务承接工厂（当前Mock为自有毛织厂）</x:v>
      </x:c>
      <x:c r="M16" s="24" t="str">
        <x:v>生产单；生产单补料待确认</x:v>
      </x:c>
      <x:c r="N16" s="24" t="str"/>
    </x:row>
    <x:row r="17" ht="58" customHeight="1">
      <x:c r="A17" s="24" t="str">
        <x:v>AUX-EMBROIDERY</x:v>
      </x:c>
      <x:c r="B17" s="24" t="str">
        <x:v>PROD 生产阶段</x:v>
      </x:c>
      <x:c r="C17" s="24" t="str">
        <x:v>辅助工艺</x:v>
      </x:c>
      <x:c r="D17" s="24" t="str">
        <x:v>绣花任务</x:v>
      </x:c>
      <x:c r="E17" s="24" t="str">
        <x:v>绣花加工单</x:v>
      </x:c>
      <x:c r="F17" s="24" t="str">
        <x:v>裁片</x:v>
      </x:c>
      <x:c r="G17" s="24" t="str">
        <x:v>纸样/裁片部位 + 颜色/尺码 + 计划片数 + 菲票范围</x:v>
      </x:c>
      <x:c r="H17" s="24" t="str">
        <x:v>整个任务</x:v>
      </x:c>
      <x:c r="I17" s="24" t="str">
        <x:v>生产单/生产单补料来源按任务建立加工单，单内展示全部明细</x:v>
      </x:c>
      <x:c r="J17" s="24" t="str">
        <x:v>SpecialCraftTaskOrder.demandLines</x:v>
      </x:c>
      <x:c r="K17" s="24" t="str">
        <x:v>生产单来源已按工艺聚合多条demandLines</x:v>
      </x:c>
      <x:c r="L17" s="24" t="str">
        <x:v>APF - 辅料工艺</x:v>
      </x:c>
      <x:c r="M17" s="24" t="str">
        <x:v>生产单；生产单补料；采购来源待确认</x:v>
      </x:c>
      <x:c r="N17" s="24" t="str"/>
    </x:row>
    <x:row r="18" ht="58" customHeight="1">
      <x:c r="A18" s="24" t="str">
        <x:v>AUX-STRIP</x:v>
      </x:c>
      <x:c r="B18" s="24" t="str">
        <x:v>PROD 生产阶段</x:v>
      </x:c>
      <x:c r="C18" s="24" t="str">
        <x:v>辅助工艺</x:v>
      </x:c>
      <x:c r="D18" s="24" t="str">
        <x:v>打条任务</x:v>
      </x:c>
      <x:c r="E18" s="24" t="str">
        <x:v>打条加工单</x:v>
      </x:c>
      <x:c r="F18" s="24" t="str">
        <x:v>裁片</x:v>
      </x:c>
      <x:c r="G18" s="24" t="str">
        <x:v>纸样/裁片部位 + 颜色/尺码 + 计划片数 + 菲票范围</x:v>
      </x:c>
      <x:c r="H18" s="24" t="str">
        <x:v>整个任务</x:v>
      </x:c>
      <x:c r="I18" s="24" t="str">
        <x:v>生产单/生产单补料来源按任务建立加工单，单内展示全部明细</x:v>
      </x:c>
      <x:c r="J18" s="24" t="str">
        <x:v>SpecialCraftTaskOrder.demandLines</x:v>
      </x:c>
      <x:c r="K18" s="24" t="str">
        <x:v>生产单来源已按工艺聚合多条demandLines</x:v>
      </x:c>
      <x:c r="L18" s="24" t="str">
        <x:v>APF - 辅料工艺</x:v>
      </x:c>
      <x:c r="M18" s="24" t="str">
        <x:v>生产单；生产单补料；采购来源待确认</x:v>
      </x:c>
      <x:c r="N18" s="24" t="str"/>
    </x:row>
    <x:row r="19" ht="58" customHeight="1">
      <x:c r="A19" s="24" t="str">
        <x:v>AUX-PLEATING</x:v>
      </x:c>
      <x:c r="B19" s="24" t="str">
        <x:v>PROD 生产阶段</x:v>
      </x:c>
      <x:c r="C19" s="24" t="str">
        <x:v>辅助工艺</x:v>
      </x:c>
      <x:c r="D19" s="24" t="str">
        <x:v>压褶任务</x:v>
      </x:c>
      <x:c r="E19" s="24" t="str">
        <x:v>压褶加工单</x:v>
      </x:c>
      <x:c r="F19" s="24" t="str">
        <x:v>裁片</x:v>
      </x:c>
      <x:c r="G19" s="24" t="str">
        <x:v>纸样/裁片部位 + 颜色/尺码 + 计划片数 + 菲票范围</x:v>
      </x:c>
      <x:c r="H19" s="24" t="str">
        <x:v>整个任务</x:v>
      </x:c>
      <x:c r="I19" s="24" t="str">
        <x:v>生产单/生产单补料来源按任务建立加工单，单内展示全部明细</x:v>
      </x:c>
      <x:c r="J19" s="24" t="str">
        <x:v>SpecialCraftTaskOrder.demandLines</x:v>
      </x:c>
      <x:c r="K19" s="24" t="str">
        <x:v>生产单来源已按工艺聚合多条demandLines</x:v>
      </x:c>
      <x:c r="L19" s="24" t="str">
        <x:v>APF - 辅料工艺</x:v>
      </x:c>
      <x:c r="M19" s="24" t="str">
        <x:v>生产单；生产单补料；采购来源待确认</x:v>
      </x:c>
      <x:c r="N19" s="24" t="str"/>
    </x:row>
    <x:row r="20" ht="58" customHeight="1">
      <x:c r="A20" s="24" t="str">
        <x:v>AUX-DALAN</x:v>
      </x:c>
      <x:c r="B20" s="24" t="str">
        <x:v>PROD 生产阶段</x:v>
      </x:c>
      <x:c r="C20" s="24" t="str">
        <x:v>辅助工艺</x:v>
      </x:c>
      <x:c r="D20" s="24" t="str">
        <x:v>打揽任务</x:v>
      </x:c>
      <x:c r="E20" s="24" t="str">
        <x:v>打揽加工单</x:v>
      </x:c>
      <x:c r="F20" s="24" t="str">
        <x:v>裁片</x:v>
      </x:c>
      <x:c r="G20" s="24" t="str">
        <x:v>纸样/裁片部位 + 颜色/尺码 + 计划片数 + 菲票范围</x:v>
      </x:c>
      <x:c r="H20" s="24" t="str">
        <x:v>整个任务</x:v>
      </x:c>
      <x:c r="I20" s="24" t="str">
        <x:v>生产单/生产单补料来源按任务建立加工单，单内展示全部明细</x:v>
      </x:c>
      <x:c r="J20" s="24" t="str">
        <x:v>SpecialCraftTaskOrder.demandLines</x:v>
      </x:c>
      <x:c r="K20" s="24" t="str">
        <x:v>生产单来源已按工艺聚合多条demandLines</x:v>
      </x:c>
      <x:c r="L20" s="24" t="str">
        <x:v>APF - 辅料工艺</x:v>
      </x:c>
      <x:c r="M20" s="24" t="str">
        <x:v>生产单；生产单补料；采购来源待确认</x:v>
      </x:c>
      <x:c r="N20" s="24" t="str"/>
    </x:row>
    <x:row r="21" ht="58" customHeight="1">
      <x:c r="A21" s="24" t="str">
        <x:v>AUX-HEAT-TRANSFER</x:v>
      </x:c>
      <x:c r="B21" s="24" t="str">
        <x:v>PROD 生产阶段</x:v>
      </x:c>
      <x:c r="C21" s="24" t="str">
        <x:v>辅助工艺</x:v>
      </x:c>
      <x:c r="D21" s="24" t="str">
        <x:v>烫画任务</x:v>
      </x:c>
      <x:c r="E21" s="24" t="str">
        <x:v>烫画加工单</x:v>
      </x:c>
      <x:c r="F21" s="24" t="str">
        <x:v>成衣/半成品</x:v>
      </x:c>
      <x:c r="G21" s="24" t="str">
        <x:v>完整成衣SKU + 计划件数 + 工艺要求</x:v>
      </x:c>
      <x:c r="H21" s="24" t="str">
        <x:v>整个任务</x:v>
      </x:c>
      <x:c r="I21" s="24" t="str">
        <x:v>生产单/生产单补料来源按任务建立加工单，单内展示全部明细</x:v>
      </x:c>
      <x:c r="J21" s="24" t="str">
        <x:v>SpecialCraftTaskOrder.demandLines</x:v>
      </x:c>
      <x:c r="K21" s="24" t="str">
        <x:v>生产单来源已按工艺聚合多条demandLines</x:v>
      </x:c>
      <x:c r="L21" s="24" t="str">
        <x:v>FLOWER</x:v>
      </x:c>
      <x:c r="M21" s="24" t="str">
        <x:v>生产单；生产单补料；采购来源待确认</x:v>
      </x:c>
      <x:c r="N21" s="24" t="str"/>
    </x:row>
    <x:row r="22" ht="58" customHeight="1">
      <x:c r="A22" s="24" t="str">
        <x:v>AUX-DIRECT-PRINT</x:v>
      </x:c>
      <x:c r="B22" s="24" t="str">
        <x:v>PROD 生产阶段</x:v>
      </x:c>
      <x:c r="C22" s="24" t="str">
        <x:v>辅助工艺</x:v>
      </x:c>
      <x:c r="D22" s="24" t="str">
        <x:v>直喷任务</x:v>
      </x:c>
      <x:c r="E22" s="24" t="str">
        <x:v>直喷加工单</x:v>
      </x:c>
      <x:c r="F22" s="24" t="str">
        <x:v>裁片</x:v>
      </x:c>
      <x:c r="G22" s="24" t="str">
        <x:v>纸样/裁片部位 + 颜色/尺码 + 计划片数 + 菲票范围</x:v>
      </x:c>
      <x:c r="H22" s="24" t="str">
        <x:v>整个任务</x:v>
      </x:c>
      <x:c r="I22" s="24" t="str">
        <x:v>生产单/生产单补料来源按任务建立加工单，单内展示全部明细</x:v>
      </x:c>
      <x:c r="J22" s="24" t="str">
        <x:v>SpecialCraftTaskOrder.demandLines</x:v>
      </x:c>
      <x:c r="K22" s="24" t="str">
        <x:v>生产单来源已按工艺聚合多条demandLines</x:v>
      </x:c>
      <x:c r="L22" s="24" t="str">
        <x:v>FLOWER</x:v>
      </x:c>
      <x:c r="M22" s="24" t="str">
        <x:v>生产单；生产单补料；采购来源待确认</x:v>
      </x:c>
      <x:c r="N22" s="24" t="str"/>
    </x:row>
    <x:row r="23" ht="58" customHeight="1">
      <x:c r="A23" s="24" t="str">
        <x:v>AUX-SHELL-EMBROIDERY</x:v>
      </x:c>
      <x:c r="B23" s="24" t="str">
        <x:v>PROD 生产阶段</x:v>
      </x:c>
      <x:c r="C23" s="24" t="str">
        <x:v>辅助工艺</x:v>
      </x:c>
      <x:c r="D23" s="24" t="str">
        <x:v>贝壳绣任务</x:v>
      </x:c>
      <x:c r="E23" s="24" t="str">
        <x:v>贝壳绣加工单</x:v>
      </x:c>
      <x:c r="F23" s="24" t="str">
        <x:v>裁片</x:v>
      </x:c>
      <x:c r="G23" s="24" t="str">
        <x:v>纸样/裁片部位 + 颜色/尺码 + 计划片数 + 菲票范围</x:v>
      </x:c>
      <x:c r="H23" s="24" t="str">
        <x:v>整个任务</x:v>
      </x:c>
      <x:c r="I23" s="24" t="str">
        <x:v>生产单/生产单补料来源按任务建立加工单，单内展示全部明细</x:v>
      </x:c>
      <x:c r="J23" s="24" t="str">
        <x:v>SpecialCraftTaskOrder.demandLines</x:v>
      </x:c>
      <x:c r="K23" s="24" t="str">
        <x:v>生产单来源已按工艺聚合多条demandLines</x:v>
      </x:c>
      <x:c r="L23" s="24" t="str">
        <x:v>APF - 辅料工艺</x:v>
      </x:c>
      <x:c r="M23" s="24" t="str">
        <x:v>生产单；生产单补料；采购来源待确认</x:v>
      </x:c>
      <x:c r="N23" s="24" t="str"/>
    </x:row>
    <x:row r="24" ht="58" customHeight="1">
      <x:c r="A24" s="24" t="str">
        <x:v>AUX-CURVED-TEETH</x:v>
      </x:c>
      <x:c r="B24" s="24" t="str">
        <x:v>PROD 生产阶段</x:v>
      </x:c>
      <x:c r="C24" s="24" t="str">
        <x:v>辅助工艺</x:v>
      </x:c>
      <x:c r="D24" s="24" t="str">
        <x:v>曲牙绣任务</x:v>
      </x:c>
      <x:c r="E24" s="24" t="str">
        <x:v>曲牙绣加工单</x:v>
      </x:c>
      <x:c r="F24" s="24" t="str">
        <x:v>裁片</x:v>
      </x:c>
      <x:c r="G24" s="24" t="str">
        <x:v>纸样/裁片部位 + 颜色/尺码 + 计划片数 + 菲票范围</x:v>
      </x:c>
      <x:c r="H24" s="24" t="str">
        <x:v>整个任务</x:v>
      </x:c>
      <x:c r="I24" s="24" t="str">
        <x:v>生产单/生产单补料来源按任务建立加工单，单内展示全部明细</x:v>
      </x:c>
      <x:c r="J24" s="24" t="str">
        <x:v>SpecialCraftTaskOrder.demandLines</x:v>
      </x:c>
      <x:c r="K24" s="24" t="str">
        <x:v>生产单来源已按工艺聚合多条demandLines</x:v>
      </x:c>
      <x:c r="L24" s="24" t="str">
        <x:v>APF - 辅料工艺</x:v>
      </x:c>
      <x:c r="M24" s="24" t="str">
        <x:v>生产单；生产单补料；采购来源待确认</x:v>
      </x:c>
      <x:c r="N24" s="24" t="str"/>
    </x:row>
    <x:row r="25" ht="58" customHeight="1">
      <x:c r="A25" s="24" t="str">
        <x:v>AUX-STRAIGHT-SHELL</x:v>
      </x:c>
      <x:c r="B25" s="24" t="str">
        <x:v>PROD 生产阶段</x:v>
      </x:c>
      <x:c r="C25" s="24" t="str">
        <x:v>辅助工艺</x:v>
      </x:c>
      <x:c r="D25" s="24" t="str">
        <x:v>一字贝绣花任务</x:v>
      </x:c>
      <x:c r="E25" s="24" t="str">
        <x:v>一字贝绣花加工单</x:v>
      </x:c>
      <x:c r="F25" s="24" t="str">
        <x:v>裁片</x:v>
      </x:c>
      <x:c r="G25" s="24" t="str">
        <x:v>纸样/裁片部位 + 颜色/尺码 + 计划片数 + 菲票范围</x:v>
      </x:c>
      <x:c r="H25" s="24" t="str">
        <x:v>整个任务</x:v>
      </x:c>
      <x:c r="I25" s="24" t="str">
        <x:v>生产单/生产单补料来源按任务建立加工单，单内展示全部明细</x:v>
      </x:c>
      <x:c r="J25" s="24" t="str">
        <x:v>SpecialCraftTaskOrder.demandLines</x:v>
      </x:c>
      <x:c r="K25" s="24" t="str">
        <x:v>生产单来源已按工艺聚合多条demandLines</x:v>
      </x:c>
      <x:c r="L25" s="24" t="str">
        <x:v>APF - 辅料工艺</x:v>
      </x:c>
      <x:c r="M25" s="24" t="str">
        <x:v>生产单；生产单补料；采购来源待确认</x:v>
      </x:c>
      <x:c r="N25" s="24" t="str"/>
    </x:row>
    <x:row r="26" ht="58" customHeight="1">
      <x:c r="A26" s="24" t="str">
        <x:v>AUX-BUTTON-LOOP</x:v>
      </x:c>
      <x:c r="B26" s="24" t="str">
        <x:v>PROD 生产阶段</x:v>
      </x:c>
      <x:c r="C26" s="24" t="str">
        <x:v>辅助工艺</x:v>
      </x:c>
      <x:c r="D26" s="24" t="str">
        <x:v>盘扣任务</x:v>
      </x:c>
      <x:c r="E26" s="24" t="str">
        <x:v>盘扣加工单</x:v>
      </x:c>
      <x:c r="F26" s="24" t="str">
        <x:v>捆条</x:v>
      </x:c>
      <x:c r="G26" s="24" t="str">
        <x:v>标记盘扣的捆条行 + 捆条菲票 + 投入张/追溯米数 + BOM产出单位</x:v>
      </x:c>
      <x:c r="H26" s="24" t="str">
        <x:v>整个任务</x:v>
      </x:c>
      <x:c r="I26" s="24" t="str">
        <x:v>生产单/生产单补料来源按任务建立加工单，单内展示全部明细</x:v>
      </x:c>
      <x:c r="J26" s="24" t="str">
        <x:v>SpecialCraftTaskOrder.demandLines</x:v>
      </x:c>
      <x:c r="K26" s="24" t="str">
        <x:v>一张盘扣加工单已支持多捆条/菲票明细；产出单位仍硬编码为个</x:v>
      </x:c>
      <x:c r="L26" s="24" t="str">
        <x:v>APF - 辅料工艺</x:v>
      </x:c>
      <x:c r="M26" s="24" t="str">
        <x:v>生产单；生产单补料；采购来源待确认</x:v>
      </x:c>
      <x:c r="N26" s="24" t="str"/>
    </x:row>
    <x:row r="27" ht="58" customHeight="1">
      <x:c r="A27" s="24" t="str">
        <x:v>AUX-FLOWER</x:v>
      </x:c>
      <x:c r="B27" s="24" t="str">
        <x:v>PROD 生产阶段</x:v>
      </x:c>
      <x:c r="C27" s="24" t="str">
        <x:v>辅助工艺</x:v>
      </x:c>
      <x:c r="D27" s="24" t="str">
        <x:v>花朵任务</x:v>
      </x:c>
      <x:c r="E27" s="24" t="str">
        <x:v>花朵加工单</x:v>
      </x:c>
      <x:c r="F27" s="24" t="str">
        <x:v>裁片</x:v>
      </x:c>
      <x:c r="G27" s="24" t="str">
        <x:v>纸样/裁片部位 + 颜色/尺码 + 计划片数 + 菲票范围</x:v>
      </x:c>
      <x:c r="H27" s="24" t="str">
        <x:v>整个任务</x:v>
      </x:c>
      <x:c r="I27" s="24" t="str">
        <x:v>生产单/生产单补料来源按任务建立加工单，单内展示全部明细</x:v>
      </x:c>
      <x:c r="J27" s="24" t="str">
        <x:v>SpecialCraftTaskOrder.demandLines</x:v>
      </x:c>
      <x:c r="K27" s="24" t="str">
        <x:v>生产单来源已按工艺聚合多条demandLines</x:v>
      </x:c>
      <x:c r="L27" s="24" t="str">
        <x:v>APF - 辅料工艺</x:v>
      </x:c>
      <x:c r="M27" s="24" t="str">
        <x:v>生产单；生产单补料；采购来源待确认</x:v>
      </x:c>
      <x:c r="N27" s="24" t="str"/>
    </x:row>
    <x:row r="28" ht="58" customHeight="1">
      <x:c r="A28" s="24" t="str">
        <x:v>AUX-GATHERING</x:v>
      </x:c>
      <x:c r="B28" s="24" t="str">
        <x:v>PROD 生产阶段</x:v>
      </x:c>
      <x:c r="C28" s="24" t="str">
        <x:v>辅助工艺</x:v>
      </x:c>
      <x:c r="D28" s="24" t="str">
        <x:v>打褶任务</x:v>
      </x:c>
      <x:c r="E28" s="24" t="str">
        <x:v>打褶加工单</x:v>
      </x:c>
      <x:c r="F28" s="24" t="str">
        <x:v>裁片</x:v>
      </x:c>
      <x:c r="G28" s="24" t="str">
        <x:v>纸样/裁片部位 + 颜色/尺码 + 计划片数 + 菲票范围</x:v>
      </x:c>
      <x:c r="H28" s="24" t="str">
        <x:v>整个任务</x:v>
      </x:c>
      <x:c r="I28" s="24" t="str">
        <x:v>生产单/生产单补料来源按任务建立加工单，单内展示全部明细</x:v>
      </x:c>
      <x:c r="J28" s="24" t="str">
        <x:v>SpecialCraftTaskOrder.demandLines</x:v>
      </x:c>
      <x:c r="K28" s="24" t="str">
        <x:v>生产单来源已按工艺聚合多条demandLines</x:v>
      </x:c>
      <x:c r="L28" s="24" t="str">
        <x:v>APF - 辅料工艺</x:v>
      </x:c>
      <x:c r="M28" s="24" t="str">
        <x:v>生产单；生产单补料；采购来源待确认</x:v>
      </x:c>
      <x:c r="N28" s="24" t="str"/>
    </x:row>
    <x:row r="29" ht="58" customHeight="1">
      <x:c r="A29" s="24" t="str">
        <x:v>AUX-HOTFIX</x:v>
      </x:c>
      <x:c r="B29" s="24" t="str">
        <x:v>PROD 生产阶段</x:v>
      </x:c>
      <x:c r="C29" s="24" t="str">
        <x:v>辅助工艺</x:v>
      </x:c>
      <x:c r="D29" s="24" t="str">
        <x:v>烫钻任务</x:v>
      </x:c>
      <x:c r="E29" s="24" t="str">
        <x:v>烫钻加工单</x:v>
      </x:c>
      <x:c r="F29" s="24" t="str">
        <x:v>裁片</x:v>
      </x:c>
      <x:c r="G29" s="24" t="str">
        <x:v>纸样/裁片部位 + 颜色/尺码 + 计划片数 + 菲票范围</x:v>
      </x:c>
      <x:c r="H29" s="24" t="str">
        <x:v>整个任务</x:v>
      </x:c>
      <x:c r="I29" s="24" t="str">
        <x:v>生产单/生产单补料来源按任务建立加工单，单内展示全部明细</x:v>
      </x:c>
      <x:c r="J29" s="24" t="str">
        <x:v>SpecialCraftTaskOrder.demandLines</x:v>
      </x:c>
      <x:c r="K29" s="24" t="str">
        <x:v>生产单来源已按工艺聚合多条demandLines</x:v>
      </x:c>
      <x:c r="L29" s="24" t="str">
        <x:v>APF - 辅料工艺</x:v>
      </x:c>
      <x:c r="M29" s="24" t="str">
        <x:v>生产单；生产单补料；采购来源待确认</x:v>
      </x:c>
      <x:c r="N29" s="24" t="str"/>
    </x:row>
    <x:row r="30" ht="58" customHeight="1">
      <x:c r="A30" s="24" t="str">
        <x:v>SPC-TEMPLATE</x:v>
      </x:c>
      <x:c r="B30" s="24" t="str">
        <x:v>PROD 生产阶段</x:v>
      </x:c>
      <x:c r="C30" s="24" t="str">
        <x:v>特种工艺</x:v>
      </x:c>
      <x:c r="D30" s="24" t="str">
        <x:v>模板工序任务</x:v>
      </x:c>
      <x:c r="E30" s="24" t="str">
        <x:v>模板工序加工单</x:v>
      </x:c>
      <x:c r="F30" s="24" t="str">
        <x:v>裁片</x:v>
      </x:c>
      <x:c r="G30" s="24" t="str">
        <x:v>纸样/裁片部位 + 颜色/尺码 + 计划片数 + 菲票范围</x:v>
      </x:c>
      <x:c r="H30" s="24" t="str">
        <x:v>整个任务</x:v>
      </x:c>
      <x:c r="I30" s="24" t="str">
        <x:v>生产单/生产单补料来源按任务建立加工单，单内展示全部明细</x:v>
      </x:c>
      <x:c r="J30" s="24" t="str">
        <x:v>SpecialCraftTaskOrder.demandLines</x:v>
      </x:c>
      <x:c r="K30" s="24" t="str">
        <x:v>生产单来源已按工艺聚合多条demandLines</x:v>
      </x:c>
      <x:c r="L30" s="24" t="str">
        <x:v>SPF - 特种工艺</x:v>
      </x:c>
      <x:c r="M30" s="24" t="str">
        <x:v>生产单；生产单补料；采购来源待确认</x:v>
      </x:c>
      <x:c r="N30" s="24" t="str">
        <x:v>现代工艺字典</x:v>
      </x:c>
    </x:row>
    <x:row r="31" ht="58" customHeight="1">
      <x:c r="A31" s="24" t="str">
        <x:v>SPC-LASER-POCKET</x:v>
      </x:c>
      <x:c r="B31" s="24" t="str">
        <x:v>PROD 生产阶段</x:v>
      </x:c>
      <x:c r="C31" s="24" t="str">
        <x:v>特种工艺</x:v>
      </x:c>
      <x:c r="D31" s="24" t="str">
        <x:v>激光开袋任务</x:v>
      </x:c>
      <x:c r="E31" s="24" t="str">
        <x:v>激光开袋加工单</x:v>
      </x:c>
      <x:c r="F31" s="24" t="str">
        <x:v>裁片</x:v>
      </x:c>
      <x:c r="G31" s="24" t="str">
        <x:v>纸样/裁片部位 + 颜色/尺码 + 计划片数 + 菲票范围</x:v>
      </x:c>
      <x:c r="H31" s="24" t="str">
        <x:v>整个任务</x:v>
      </x:c>
      <x:c r="I31" s="24" t="str">
        <x:v>生产单/生产单补料来源按任务建立加工单，单内展示全部明细</x:v>
      </x:c>
      <x:c r="J31" s="24" t="str">
        <x:v>SpecialCraftTaskOrder.demandLines</x:v>
      </x:c>
      <x:c r="K31" s="24" t="str">
        <x:v>生产单来源已按工艺聚合多条demandLines</x:v>
      </x:c>
      <x:c r="L31" s="24" t="str">
        <x:v>SPF - 特种工艺</x:v>
      </x:c>
      <x:c r="M31" s="24" t="str">
        <x:v>生产单；生产单补料；采购来源待确认</x:v>
      </x:c>
      <x:c r="N31" s="24" t="str">
        <x:v>现代工艺字典</x:v>
      </x:c>
    </x:row>
    <x:row r="32" ht="58" customHeight="1">
      <x:c r="A32" s="24" t="str">
        <x:v>SPC-PATTERN-SEW</x:v>
      </x:c>
      <x:c r="B32" s="24" t="str">
        <x:v>PROD 生产阶段</x:v>
      </x:c>
      <x:c r="C32" s="24" t="str">
        <x:v>特种工艺</x:v>
      </x:c>
      <x:c r="D32" s="24" t="str">
        <x:v>特种车缝（花样机）任务</x:v>
      </x:c>
      <x:c r="E32" s="24" t="str">
        <x:v>特种车缝（花样机）加工单</x:v>
      </x:c>
      <x:c r="F32" s="24" t="str">
        <x:v>裁片</x:v>
      </x:c>
      <x:c r="G32" s="24" t="str">
        <x:v>纸样/裁片部位 + 颜色/尺码 + 计划片数 + 菲票范围</x:v>
      </x:c>
      <x:c r="H32" s="24" t="str">
        <x:v>整个任务</x:v>
      </x:c>
      <x:c r="I32" s="24" t="str">
        <x:v>生产单/生产单补料来源按任务建立加工单，单内展示全部明细</x:v>
      </x:c>
      <x:c r="J32" s="24" t="str">
        <x:v>SpecialCraftTaskOrder.demandLines</x:v>
      </x:c>
      <x:c r="K32" s="24" t="str">
        <x:v>生产单来源已按工艺聚合多条demandLines</x:v>
      </x:c>
      <x:c r="L32" s="24" t="str">
        <x:v>SPF - 特种工艺</x:v>
      </x:c>
      <x:c r="M32" s="24" t="str">
        <x:v>生产单；生产单补料；采购来源待确认</x:v>
      </x:c>
      <x:c r="N32" s="24" t="str">
        <x:v>现代工艺字典</x:v>
      </x:c>
    </x:row>
    <x:row r="33" ht="58" customHeight="1">
      <x:c r="A33" s="24" t="str">
        <x:v>SPC-ELASTIC-CUT</x:v>
      </x:c>
      <x:c r="B33" s="24" t="str">
        <x:v>PROD 生产阶段</x:v>
      </x:c>
      <x:c r="C33" s="24" t="str">
        <x:v>特种工艺</x:v>
      </x:c>
      <x:c r="D33" s="24" t="str">
        <x:v>橡筋定长切割任务</x:v>
      </x:c>
      <x:c r="E33" s="24" t="str">
        <x:v>橡筋定长切割加工单</x:v>
      </x:c>
      <x:c r="F33" s="24" t="str">
        <x:v>辅料</x:v>
      </x:c>
      <x:c r="G33" s="24" t="str">
        <x:v>BOM辅料行 + 规格/定长规则 + 数量/单位</x:v>
      </x:c>
      <x:c r="H33" s="24" t="str">
        <x:v>整个任务</x:v>
      </x:c>
      <x:c r="I33" s="24" t="str">
        <x:v>生产单/生产单补料来源按任务建立加工单，单内展示全部明细</x:v>
      </x:c>
      <x:c r="J33" s="24" t="str">
        <x:v>SpecialCraftTaskOrder.demandLines</x:v>
      </x:c>
      <x:c r="K33" s="24" t="str">
        <x:v>生产单来源已按工艺聚合多条demandLines</x:v>
      </x:c>
      <x:c r="L33" s="24" t="str">
        <x:v>SPF - 特种工艺</x:v>
      </x:c>
      <x:c r="M33" s="24" t="str">
        <x:v>生产单；生产单补料；采购来源待确认</x:v>
      </x:c>
      <x:c r="N33" s="24" t="str">
        <x:v>现代字典目标对象为辅料；当前operation seed仍投影为裁片</x:v>
      </x:c>
    </x:row>
    <x:row r="34" ht="58" customHeight="1">
      <x:c r="A34" s="24" t="str">
        <x:v>SPC-LASER-CUT-LEGACY</x:v>
      </x:c>
      <x:c r="B34" s="24" t="str">
        <x:v>PROD 生产阶段</x:v>
      </x:c>
      <x:c r="C34" s="24" t="str">
        <x:v>特种工艺</x:v>
      </x:c>
      <x:c r="D34" s="24" t="str">
        <x:v>激光切任务</x:v>
      </x:c>
      <x:c r="E34" s="24" t="str">
        <x:v>激光切加工单</x:v>
      </x:c>
      <x:c r="F34" s="24" t="str">
        <x:v>裁片</x:v>
      </x:c>
      <x:c r="G34" s="24" t="str">
        <x:v>纸样/裁片部位 + 颜色/尺码 + 计划片数 + 菲票范围</x:v>
      </x:c>
      <x:c r="H34" s="24" t="str">
        <x:v>整个任务</x:v>
      </x:c>
      <x:c r="I34" s="24" t="str">
        <x:v>生产单/生产单补料来源按任务建立加工单，单内展示全部明细</x:v>
      </x:c>
      <x:c r="J34" s="24" t="str">
        <x:v>SpecialCraftTaskOrder.demandLines</x:v>
      </x:c>
      <x:c r="K34" s="24" t="str">
        <x:v>生产单来源已按工艺聚合多条demandLines</x:v>
      </x:c>
      <x:c r="L34" s="24" t="str">
        <x:v>SPF - 特种工艺</x:v>
      </x:c>
      <x:c r="M34" s="24" t="str">
        <x:v>生产单；生产单补料；采购来源待确认</x:v>
      </x:c>
      <x:c r="N34" s="24" t="str">
        <x:v>当前运行任务/旧字典存在，但未进入现代特种工艺清单</x:v>
      </x:c>
    </x:row>
    <x:row r="35" ht="58" customHeight="1">
      <x:c r="A35" s="24" t="str">
        <x:v>POST-IRON-PACK</x:v>
      </x:c>
      <x:c r="B35" s="24" t="str">
        <x:v>POST 后道阶段</x:v>
      </x:c>
      <x:c r="C35" s="24" t="str">
        <x:v>烫包</x:v>
      </x:c>
      <x:c r="D35" s="24" t="str">
        <x:v>独立烫包任务</x:v>
      </x:c>
      <x:c r="E35" s="24" t="str">
        <x:v>不另按需求明细生成加工单/或衔接后道实际工序单</x:v>
      </x:c>
      <x:c r="F35" s="24" t="str">
        <x:v>半成品成衣</x:v>
      </x:c>
      <x:c r="G35" s="24" t="str">
        <x:v>完整成衣SKU需求明细（只读）</x:v>
      </x:c>
      <x:c r="H35" s="24" t="str">
        <x:v>整个任务</x:v>
      </x:c>
      <x:c r="I35" s="24" t="str">
        <x:v>不按SKU拆加工单；后道衔接待统一</x:v>
      </x:c>
      <x:c r="J35" s="24" t="str">
        <x:v>ProcessTask / IRON_PACK</x:v>
      </x:c>
      <x:c r="K35" s="24" t="str">
        <x:v>字典仍写SKU粒度，与最新全局口径冲突</x:v>
      </x:c>
      <x:c r="L35" s="24" t="str">
        <x:v>烫包任务承接工厂</x:v>
      </x:c>
      <x:c r="M35" s="24" t="str">
        <x:v>生产单</x:v>
      </x:c>
      <x:c r="N35" s="24" t="str"/>
    </x:row>
    <x:row r="36" ht="58" customHeight="1">
      <x:c r="A36" s="24" t="str">
        <x:v>POST-STAGE-TASK</x:v>
      </x:c>
      <x:c r="B36" s="24" t="str">
        <x:v>POST 后道阶段</x:v>
      </x:c>
      <x:c r="C36" s="24" t="str">
        <x:v>后道工厂</x:v>
      </x:c>
      <x:c r="D36" s="24" t="str">
        <x:v>后道阶段任务</x:v>
      </x:c>
      <x:c r="E36" s="24" t="str">
        <x:v>后道实际工序单</x:v>
      </x:c>
      <x:c r="F36" s="24" t="str">
        <x:v>待后道处理成衣</x:v>
      </x:c>
      <x:c r="G36" s="24" t="str">
        <x:v>生产单下SKU行 + 质检通过/需后道范围</x:v>
      </x:c>
      <x:c r="H36" s="24" t="str">
        <x:v>整个任务</x:v>
      </x:c>
      <x:c r="I36" s="24" t="str">
        <x:v>当前按质检单/后道上下文生成，不按需求明细逐行生成</x:v>
      </x:c>
      <x:c r="J36" s="24" t="str">
        <x:v>PostFinishingTaskView → PostFinishingWorkOrder</x:v>
      </x:c>
      <x:c r="K36" s="24" t="str">
        <x:v>已有阶段任务和实际工序单；不进入通用明细分配</x:v>
      </x:c>
      <x:c r="L36" s="24" t="str">
        <x:v>管理后道工厂</x:v>
      </x:c>
      <x:c r="M36" s="24" t="str">
        <x:v>生产单</x:v>
      </x:c>
      <x:c r="N36" s="24" t="str"/>
    </x:row>
    <x:row r="37" ht="58" customHeight="1">
      <x:c r="A37" s="24" t="str">
        <x:v>POST-BUTTONHOLE</x:v>
      </x:c>
      <x:c r="B37" s="24" t="str">
        <x:v>POST 后道阶段</x:v>
      </x:c>
      <x:c r="C37" s="24" t="str">
        <x:v>后道工序节点</x:v>
      </x:c>
      <x:c r="D37" s="24" t="str">
        <x:v>开扣眼节点</x:v>
      </x:c>
      <x:c r="E37" s="24" t="str">
        <x:v>不生成独立加工单；作为后道实际工序单项目明细</x:v>
      </x:c>
      <x:c r="F37" s="24" t="str">
        <x:v>成衣/辅料与成衣组合</x:v>
      </x:c>
      <x:c r="G37" s="24" t="str">
        <x:v>后道工序单SKU行 + 工序项目</x:v>
      </x:c>
      <x:c r="H37" s="24" t="str">
        <x:v>不独立分配（随整个后道任务）</x:v>
      </x:c>
      <x:c r="I37" s="24" t="str">
        <x:v>不独立生成</x:v>
      </x:c>
      <x:c r="J37" s="24" t="str">
        <x:v>PostFinishingWorkOrder.postProcessItems/postProjectLines</x:v>
      </x:c>
      <x:c r="K37" s="24" t="str">
        <x:v>代码中为内部项目/产能节点</x:v>
      </x:c>
      <x:c r="L37" s="24" t="str">
        <x:v>随后道任务承接工厂</x:v>
      </x:c>
      <x:c r="M37" s="24" t="str">
        <x:v>生产单</x:v>
      </x:c>
      <x:c r="N37" s="24" t="str"/>
    </x:row>
    <x:row r="38" ht="58" customHeight="1">
      <x:c r="A38" s="24" t="str">
        <x:v>POST-BUTTON-ATTACH</x:v>
      </x:c>
      <x:c r="B38" s="24" t="str">
        <x:v>POST 后道阶段</x:v>
      </x:c>
      <x:c r="C38" s="24" t="str">
        <x:v>后道工序节点</x:v>
      </x:c>
      <x:c r="D38" s="24" t="str">
        <x:v>装扣子节点</x:v>
      </x:c>
      <x:c r="E38" s="24" t="str">
        <x:v>不生成独立加工单；作为后道实际工序单项目明细</x:v>
      </x:c>
      <x:c r="F38" s="24" t="str">
        <x:v>成衣/辅料与成衣组合</x:v>
      </x:c>
      <x:c r="G38" s="24" t="str">
        <x:v>后道工序单SKU行 + 工序项目</x:v>
      </x:c>
      <x:c r="H38" s="24" t="str">
        <x:v>不独立分配（随整个后道任务）</x:v>
      </x:c>
      <x:c r="I38" s="24" t="str">
        <x:v>不独立生成</x:v>
      </x:c>
      <x:c r="J38" s="24" t="str">
        <x:v>PostFinishingWorkOrder.postProcessItems/postProjectLines</x:v>
      </x:c>
      <x:c r="K38" s="24" t="str">
        <x:v>代码中为内部项目/产能节点</x:v>
      </x:c>
      <x:c r="L38" s="24" t="str">
        <x:v>随后道任务承接工厂</x:v>
      </x:c>
      <x:c r="M38" s="24" t="str">
        <x:v>生产单</x:v>
      </x:c>
      <x:c r="N38" s="24" t="str"/>
    </x:row>
    <x:row r="39" ht="58" customHeight="1">
      <x:c r="A39" s="24" t="str">
        <x:v>POST-IRONING</x:v>
      </x:c>
      <x:c r="B39" s="24" t="str">
        <x:v>POST 后道阶段</x:v>
      </x:c>
      <x:c r="C39" s="24" t="str">
        <x:v>后道工序节点</x:v>
      </x:c>
      <x:c r="D39" s="24" t="str">
        <x:v>熨烫节点</x:v>
      </x:c>
      <x:c r="E39" s="24" t="str">
        <x:v>不生成独立加工单；作为后道实际工序单项目明细</x:v>
      </x:c>
      <x:c r="F39" s="24" t="str">
        <x:v>成衣/辅料与成衣组合</x:v>
      </x:c>
      <x:c r="G39" s="24" t="str">
        <x:v>后道工序单SKU行 + 工序项目</x:v>
      </x:c>
      <x:c r="H39" s="24" t="str">
        <x:v>不独立分配（随整个后道任务）</x:v>
      </x:c>
      <x:c r="I39" s="24" t="str">
        <x:v>不独立生成</x:v>
      </x:c>
      <x:c r="J39" s="24" t="str">
        <x:v>PostFinishingWorkOrder.postProcessItems/postProjectLines</x:v>
      </x:c>
      <x:c r="K39" s="24" t="str">
        <x:v>代码中为内部项目/产能节点</x:v>
      </x:c>
      <x:c r="L39" s="24" t="str">
        <x:v>随后道任务承接工厂</x:v>
      </x:c>
      <x:c r="M39" s="24" t="str">
        <x:v>生产单</x:v>
      </x:c>
      <x:c r="N39" s="24" t="str"/>
    </x:row>
    <x:row r="40" ht="58" customHeight="1">
      <x:c r="A40" s="24" t="str">
        <x:v>POST-PACKAGING</x:v>
      </x:c>
      <x:c r="B40" s="24" t="str">
        <x:v>POST 后道阶段</x:v>
      </x:c>
      <x:c r="C40" s="24" t="str">
        <x:v>后道工序节点</x:v>
      </x:c>
      <x:c r="D40" s="24" t="str">
        <x:v>包装节点</x:v>
      </x:c>
      <x:c r="E40" s="24" t="str">
        <x:v>不生成独立加工单；作为后道实际工序单项目明细</x:v>
      </x:c>
      <x:c r="F40" s="24" t="str">
        <x:v>成衣/辅料与成衣组合</x:v>
      </x:c>
      <x:c r="G40" s="24" t="str">
        <x:v>后道工序单SKU行 + 工序项目</x:v>
      </x:c>
      <x:c r="H40" s="24" t="str">
        <x:v>不独立分配（随整个后道任务）</x:v>
      </x:c>
      <x:c r="I40" s="24" t="str">
        <x:v>不独立生成</x:v>
      </x:c>
      <x:c r="J40" s="24" t="str">
        <x:v>PostFinishingWorkOrder.postProcessItems/postProjectLines</x:v>
      </x:c>
      <x:c r="K40" s="24" t="str">
        <x:v>代码中为内部项目/产能节点</x:v>
      </x:c>
      <x:c r="L40" s="24" t="str">
        <x:v>随后道任务承接工厂</x:v>
      </x:c>
      <x:c r="M40" s="24" t="str">
        <x:v>生产单</x:v>
      </x:c>
      <x:c r="N40" s="24" t="str"/>
    </x:row>
    <x:row r="41" ht="58" customHeight="1">
      <x:c r="A41" s="24" t="str">
        <x:v>ACCESSORY-LACE</x:v>
      </x:c>
      <x:c r="B41" s="24" t="str">
        <x:v>辅料加工</x:v>
      </x:c>
      <x:c r="C41" s="24" t="str">
        <x:v>辅料工厂</x:v>
      </x:c>
      <x:c r="D41" s="24" t="str">
        <x:v>花边加工任务</x:v>
      </x:c>
      <x:c r="E41" s="24" t="str">
        <x:v>花边生产单/加工单</x:v>
      </x:c>
      <x:c r="F41" s="24" t="str">
        <x:v>花边辅料</x:v>
      </x:c>
      <x:c r="G41" s="24" t="str">
        <x:v>采购单 + 花边SKU；同一采购单SKU可聚合多个来源行/款式</x:v>
      </x:c>
      <x:c r="H41" s="24" t="str">
        <x:v>整个任务</x:v>
      </x:c>
      <x:c r="I41" s="24" t="str">
        <x:v>按采购需求明细生成加工单</x:v>
      </x:c>
      <x:c r="J41" s="24" t="str">
        <x:v>LaceProductionOrder</x:v>
      </x:c>
      <x:c r="K41" s="24" t="str">
        <x:v>当前直接按采购单+SKU生成生产单，缺少独立任务分配层</x:v>
      </x:c>
      <x:c r="L41" s="24" t="str">
        <x:v>对应花边厂（当前Mock：Renda Jaya）</x:v>
      </x:c>
      <x:c r="M41" s="24" t="str">
        <x:v>备货采购（采购）</x:v>
      </x:c>
      <x:c r="N41" s="24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4286ae783124d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1.109999656677246" hidden="0" customWidth="1"/>
    <x:col min="3" max="3" width="18.889999389648438" hidden="0" customWidth="1"/>
    <x:col min="4" max="4" width="12.220000267028809" hidden="0" customWidth="1"/>
    <x:col min="5" max="5" width="24.440000534057617" hidden="0" customWidth="1"/>
    <x:col min="6" max="6" width="18.889999389648438" hidden="0" customWidth="1"/>
    <x:col min="7" max="7" width="26.670000076293945" hidden="0" customWidth="1"/>
    <x:col min="8" max="8" width="20" hidden="0" customWidth="1"/>
    <x:col min="9" max="9" width="27.780000686645508" hidden="0" customWidth="1"/>
    <x:col min="10" max="10" width="16.670000076293945" hidden="0" customWidth="1"/>
    <x:col min="11" max="11" width="36.66999816894531" hidden="0" customWidth="1"/>
    <x:col min="12" max="12" width="17.219999313354492" hidden="0" customWidth="1"/>
    <x:col min="13" max="13" width="21.110000610351562" hidden="0" customWidth="1"/>
    <x:col min="14" max="14" width="30" hidden="0" customWidth="1"/>
    <x:col min="15" max="15" width="35.560001373291016" hidden="0" customWidth="1"/>
  </x:cols>
  <x:sheetData>
    <x:row r="1" ht="30" customHeight="1">
      <x:c r="A1" s="3" t="str">
        <x:v>辅助工艺与特种工艺逐项清单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6" t="str">
        <x:v>共 18 项；生产单/生产单补料来源均采用“整任务分配、加工单按任务建立、单内展示全部明细”，采购来源逐项待确认。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6" customHeight="1">
      <x:c r="A4" s="15" t="str">
        <x:v>编号</x:v>
      </x:c>
      <x:c r="B4" s="16" t="str">
        <x:v>分类</x:v>
      </x:c>
      <x:c r="C4" s="16" t="str">
        <x:v>工艺</x:v>
      </x:c>
      <x:c r="D4" s="16" t="str">
        <x:v>加工对象</x:v>
      </x:c>
      <x:c r="E4" s="16" t="str">
        <x:v>技术包选择位置</x:v>
      </x:c>
      <x:c r="F4" s="16" t="str">
        <x:v>生产单：分配</x:v>
      </x:c>
      <x:c r="G4" s="16" t="str">
        <x:v>生产单：加工单生成</x:v>
      </x:c>
      <x:c r="H4" s="16" t="str">
        <x:v>生产单补料：分配</x:v>
      </x:c>
      <x:c r="I4" s="16" t="str">
        <x:v>生产单补料：加工单生成</x:v>
      </x:c>
      <x:c r="J4" s="16" t="str">
        <x:v>备货采购</x:v>
      </x:c>
      <x:c r="K4" s="16" t="str">
        <x:v>加工单内明细</x:v>
      </x:c>
      <x:c r="L4" s="16" t="str">
        <x:v>承接工厂</x:v>
      </x:c>
      <x:c r="M4" s="16" t="str">
        <x:v>当前工艺代码</x:v>
      </x:c>
      <x:c r="N4" s="16" t="str">
        <x:v>当前代码状态</x:v>
      </x:c>
      <x:c r="O4" s="17" t="str">
        <x:v>备注/差异</x:v>
      </x:c>
    </x:row>
    <x:row r="5" ht="62" customHeight="1">
      <x:c r="A5" s="23" t="str">
        <x:v>C-001</x:v>
      </x:c>
      <x:c r="B5" s="23" t="str">
        <x:v>辅助工艺</x:v>
      </x:c>
      <x:c r="C5" s="23" t="str">
        <x:v>绣花</x:v>
      </x:c>
      <x:c r="D5" s="23" t="str">
        <x:v>裁片</x:v>
      </x:c>
      <x:c r="E5" s="23" t="str">
        <x:v>技术包纸样裁片部位</x:v>
      </x:c>
      <x:c r="F5" s="23" t="str">
        <x:v>整个任务；明细不可选择</x:v>
      </x:c>
      <x:c r="G5" s="23" t="str">
        <x:v>按任务建立加工单；单内显示全部明细</x:v>
      </x:c>
      <x:c r="H5" s="23" t="str">
        <x:v>整个任务；明细不可选择</x:v>
      </x:c>
      <x:c r="I5" s="23" t="str">
        <x:v>按任务建立加工单；单内显示全部补料明细</x:v>
      </x:c>
      <x:c r="J5" s="23" t="str">
        <x:v>是否适用待确认</x:v>
      </x:c>
      <x:c r="K5" s="23" t="str">
        <x:v>纸样/裁片部位 + 颜色/尺码 + 计划片数 + 菲票范围</x:v>
      </x:c>
      <x:c r="L5" s="23" t="str">
        <x:v>APF - 辅料工艺</x:v>
      </x:c>
      <x:c r="M5" s="23" t="str">
        <x:v>AUX-EMBROIDERY</x:v>
      </x:c>
      <x:c r="N5" s="23" t="str">
        <x:v>生产单来源已有工艺聚合模型</x:v>
      </x:c>
      <x:c r="O5" s="23" t="str"/>
    </x:row>
    <x:row r="6" ht="62" customHeight="1">
      <x:c r="A6" s="24" t="str">
        <x:v>C-002</x:v>
      </x:c>
      <x:c r="B6" s="24" t="str">
        <x:v>辅助工艺</x:v>
      </x:c>
      <x:c r="C6" s="24" t="str">
        <x:v>打条</x:v>
      </x:c>
      <x:c r="D6" s="24" t="str">
        <x:v>裁片</x:v>
      </x:c>
      <x:c r="E6" s="24" t="str">
        <x:v>技术包纸样裁片部位</x:v>
      </x:c>
      <x:c r="F6" s="24" t="str">
        <x:v>整个任务；明细不可选择</x:v>
      </x:c>
      <x:c r="G6" s="24" t="str">
        <x:v>按任务建立加工单；单内显示全部明细</x:v>
      </x:c>
      <x:c r="H6" s="24" t="str">
        <x:v>整个任务；明细不可选择</x:v>
      </x:c>
      <x:c r="I6" s="24" t="str">
        <x:v>按任务建立加工单；单内显示全部补料明细</x:v>
      </x:c>
      <x:c r="J6" s="24" t="str">
        <x:v>是否适用待确认</x:v>
      </x:c>
      <x:c r="K6" s="24" t="str">
        <x:v>纸样/裁片部位 + 颜色/尺码 + 计划片数 + 菲票范围</x:v>
      </x:c>
      <x:c r="L6" s="24" t="str">
        <x:v>APF - 辅料工艺</x:v>
      </x:c>
      <x:c r="M6" s="24" t="str">
        <x:v>AUX-STRIP</x:v>
      </x:c>
      <x:c r="N6" s="24" t="str">
        <x:v>生产单来源已有工艺聚合模型</x:v>
      </x:c>
      <x:c r="O6" s="24" t="str"/>
    </x:row>
    <x:row r="7" ht="62" customHeight="1">
      <x:c r="A7" s="24" t="str">
        <x:v>C-003</x:v>
      </x:c>
      <x:c r="B7" s="24" t="str">
        <x:v>辅助工艺</x:v>
      </x:c>
      <x:c r="C7" s="24" t="str">
        <x:v>压褶</x:v>
      </x:c>
      <x:c r="D7" s="24" t="str">
        <x:v>裁片</x:v>
      </x:c>
      <x:c r="E7" s="24" t="str">
        <x:v>技术包纸样裁片部位</x:v>
      </x:c>
      <x:c r="F7" s="24" t="str">
        <x:v>整个任务；明细不可选择</x:v>
      </x:c>
      <x:c r="G7" s="24" t="str">
        <x:v>按任务建立加工单；单内显示全部明细</x:v>
      </x:c>
      <x:c r="H7" s="24" t="str">
        <x:v>整个任务；明细不可选择</x:v>
      </x:c>
      <x:c r="I7" s="24" t="str">
        <x:v>按任务建立加工单；单内显示全部补料明细</x:v>
      </x:c>
      <x:c r="J7" s="24" t="str">
        <x:v>是否适用待确认</x:v>
      </x:c>
      <x:c r="K7" s="24" t="str">
        <x:v>纸样/裁片部位 + 颜色/尺码 + 计划片数 + 菲票范围</x:v>
      </x:c>
      <x:c r="L7" s="24" t="str">
        <x:v>APF - 辅料工艺</x:v>
      </x:c>
      <x:c r="M7" s="24" t="str">
        <x:v>AUX-PLEATING</x:v>
      </x:c>
      <x:c r="N7" s="24" t="str">
        <x:v>生产单来源已有工艺聚合模型</x:v>
      </x:c>
      <x:c r="O7" s="24" t="str"/>
    </x:row>
    <x:row r="8" ht="62" customHeight="1">
      <x:c r="A8" s="24" t="str">
        <x:v>C-004</x:v>
      </x:c>
      <x:c r="B8" s="24" t="str">
        <x:v>辅助工艺</x:v>
      </x:c>
      <x:c r="C8" s="24" t="str">
        <x:v>打揽</x:v>
      </x:c>
      <x:c r="D8" s="24" t="str">
        <x:v>裁片</x:v>
      </x:c>
      <x:c r="E8" s="24" t="str">
        <x:v>技术包纸样裁片部位</x:v>
      </x:c>
      <x:c r="F8" s="24" t="str">
        <x:v>整个任务；明细不可选择</x:v>
      </x:c>
      <x:c r="G8" s="24" t="str">
        <x:v>按任务建立加工单；单内显示全部明细</x:v>
      </x:c>
      <x:c r="H8" s="24" t="str">
        <x:v>整个任务；明细不可选择</x:v>
      </x:c>
      <x:c r="I8" s="24" t="str">
        <x:v>按任务建立加工单；单内显示全部补料明细</x:v>
      </x:c>
      <x:c r="J8" s="24" t="str">
        <x:v>是否适用待确认</x:v>
      </x:c>
      <x:c r="K8" s="24" t="str">
        <x:v>纸样/裁片部位 + 颜色/尺码 + 计划片数 + 菲票范围</x:v>
      </x:c>
      <x:c r="L8" s="24" t="str">
        <x:v>APF - 辅料工艺</x:v>
      </x:c>
      <x:c r="M8" s="24" t="str">
        <x:v>AUX-DALAN</x:v>
      </x:c>
      <x:c r="N8" s="24" t="str">
        <x:v>生产单来源已有工艺聚合模型</x:v>
      </x:c>
      <x:c r="O8" s="24" t="str"/>
    </x:row>
    <x:row r="9" ht="62" customHeight="1">
      <x:c r="A9" s="24" t="str">
        <x:v>C-005</x:v>
      </x:c>
      <x:c r="B9" s="24" t="str">
        <x:v>辅助工艺</x:v>
      </x:c>
      <x:c r="C9" s="24" t="str">
        <x:v>烫画</x:v>
      </x:c>
      <x:c r="D9" s="24" t="str">
        <x:v>成衣/半成品</x:v>
      </x:c>
      <x:c r="E9" s="24" t="str">
        <x:v>成衣/半成品工艺需求</x:v>
      </x:c>
      <x:c r="F9" s="24" t="str">
        <x:v>整个任务；明细不可选择</x:v>
      </x:c>
      <x:c r="G9" s="24" t="str">
        <x:v>按任务建立加工单；单内显示全部明细</x:v>
      </x:c>
      <x:c r="H9" s="24" t="str">
        <x:v>整个任务；明细不可选择</x:v>
      </x:c>
      <x:c r="I9" s="24" t="str">
        <x:v>按任务建立加工单；单内显示全部补料明细</x:v>
      </x:c>
      <x:c r="J9" s="24" t="str">
        <x:v>是否适用待确认</x:v>
      </x:c>
      <x:c r="K9" s="24" t="str">
        <x:v>完整成衣SKU + 计划件数 + 工艺要求</x:v>
      </x:c>
      <x:c r="L9" s="24" t="str">
        <x:v>FLOWER</x:v>
      </x:c>
      <x:c r="M9" s="24" t="str">
        <x:v>AUX-HEAT-TRANSFER</x:v>
      </x:c>
      <x:c r="N9" s="24" t="str">
        <x:v>生产单来源已有工艺聚合模型</x:v>
      </x:c>
      <x:c r="O9" s="24" t="str"/>
    </x:row>
    <x:row r="10" ht="62" customHeight="1">
      <x:c r="A10" s="24" t="str">
        <x:v>C-006</x:v>
      </x:c>
      <x:c r="B10" s="24" t="str">
        <x:v>辅助工艺</x:v>
      </x:c>
      <x:c r="C10" s="24" t="str">
        <x:v>直喷</x:v>
      </x:c>
      <x:c r="D10" s="24" t="str">
        <x:v>裁片</x:v>
      </x:c>
      <x:c r="E10" s="24" t="str">
        <x:v>技术包纸样裁片部位</x:v>
      </x:c>
      <x:c r="F10" s="24" t="str">
        <x:v>整个任务；明细不可选择</x:v>
      </x:c>
      <x:c r="G10" s="24" t="str">
        <x:v>按任务建立加工单；单内显示全部明细</x:v>
      </x:c>
      <x:c r="H10" s="24" t="str">
        <x:v>整个任务；明细不可选择</x:v>
      </x:c>
      <x:c r="I10" s="24" t="str">
        <x:v>按任务建立加工单；单内显示全部补料明细</x:v>
      </x:c>
      <x:c r="J10" s="24" t="str">
        <x:v>是否适用待确认</x:v>
      </x:c>
      <x:c r="K10" s="24" t="str">
        <x:v>纸样/裁片部位 + 颜色/尺码 + 计划片数 + 菲票范围</x:v>
      </x:c>
      <x:c r="L10" s="24" t="str">
        <x:v>FLOWER</x:v>
      </x:c>
      <x:c r="M10" s="24" t="str">
        <x:v>AUX-DIRECT-PRINT</x:v>
      </x:c>
      <x:c r="N10" s="24" t="str">
        <x:v>生产单来源已有工艺聚合模型</x:v>
      </x:c>
      <x:c r="O10" s="24" t="str"/>
    </x:row>
    <x:row r="11" ht="62" customHeight="1">
      <x:c r="A11" s="24" t="str">
        <x:v>C-007</x:v>
      </x:c>
      <x:c r="B11" s="24" t="str">
        <x:v>辅助工艺</x:v>
      </x:c>
      <x:c r="C11" s="24" t="str">
        <x:v>贝壳绣</x:v>
      </x:c>
      <x:c r="D11" s="24" t="str">
        <x:v>裁片</x:v>
      </x:c>
      <x:c r="E11" s="24" t="str">
        <x:v>技术包纸样裁片部位</x:v>
      </x:c>
      <x:c r="F11" s="24" t="str">
        <x:v>整个任务；明细不可选择</x:v>
      </x:c>
      <x:c r="G11" s="24" t="str">
        <x:v>按任务建立加工单；单内显示全部明细</x:v>
      </x:c>
      <x:c r="H11" s="24" t="str">
        <x:v>整个任务；明细不可选择</x:v>
      </x:c>
      <x:c r="I11" s="24" t="str">
        <x:v>按任务建立加工单；单内显示全部补料明细</x:v>
      </x:c>
      <x:c r="J11" s="24" t="str">
        <x:v>是否适用待确认</x:v>
      </x:c>
      <x:c r="K11" s="24" t="str">
        <x:v>纸样/裁片部位 + 颜色/尺码 + 计划片数 + 菲票范围</x:v>
      </x:c>
      <x:c r="L11" s="24" t="str">
        <x:v>APF - 辅料工艺</x:v>
      </x:c>
      <x:c r="M11" s="24" t="str">
        <x:v>AUX-SHELL-EMBROIDERY</x:v>
      </x:c>
      <x:c r="N11" s="24" t="str">
        <x:v>生产单来源已有工艺聚合模型</x:v>
      </x:c>
      <x:c r="O11" s="24" t="str"/>
    </x:row>
    <x:row r="12" ht="62" customHeight="1">
      <x:c r="A12" s="24" t="str">
        <x:v>C-008</x:v>
      </x:c>
      <x:c r="B12" s="24" t="str">
        <x:v>辅助工艺</x:v>
      </x:c>
      <x:c r="C12" s="24" t="str">
        <x:v>曲牙绣</x:v>
      </x:c>
      <x:c r="D12" s="24" t="str">
        <x:v>裁片</x:v>
      </x:c>
      <x:c r="E12" s="24" t="str">
        <x:v>技术包纸样裁片部位</x:v>
      </x:c>
      <x:c r="F12" s="24" t="str">
        <x:v>整个任务；明细不可选择</x:v>
      </x:c>
      <x:c r="G12" s="24" t="str">
        <x:v>按任务建立加工单；单内显示全部明细</x:v>
      </x:c>
      <x:c r="H12" s="24" t="str">
        <x:v>整个任务；明细不可选择</x:v>
      </x:c>
      <x:c r="I12" s="24" t="str">
        <x:v>按任务建立加工单；单内显示全部补料明细</x:v>
      </x:c>
      <x:c r="J12" s="24" t="str">
        <x:v>是否适用待确认</x:v>
      </x:c>
      <x:c r="K12" s="24" t="str">
        <x:v>纸样/裁片部位 + 颜色/尺码 + 计划片数 + 菲票范围</x:v>
      </x:c>
      <x:c r="L12" s="24" t="str">
        <x:v>APF - 辅料工艺</x:v>
      </x:c>
      <x:c r="M12" s="24" t="str">
        <x:v>AUX-CURVED-TEETH</x:v>
      </x:c>
      <x:c r="N12" s="24" t="str">
        <x:v>生产单来源已有工艺聚合模型</x:v>
      </x:c>
      <x:c r="O12" s="24" t="str"/>
    </x:row>
    <x:row r="13" ht="62" customHeight="1">
      <x:c r="A13" s="24" t="str">
        <x:v>C-009</x:v>
      </x:c>
      <x:c r="B13" s="24" t="str">
        <x:v>辅助工艺</x:v>
      </x:c>
      <x:c r="C13" s="24" t="str">
        <x:v>一字贝绣花</x:v>
      </x:c>
      <x:c r="D13" s="24" t="str">
        <x:v>裁片</x:v>
      </x:c>
      <x:c r="E13" s="24" t="str">
        <x:v>技术包纸样裁片部位</x:v>
      </x:c>
      <x:c r="F13" s="24" t="str">
        <x:v>整个任务；明细不可选择</x:v>
      </x:c>
      <x:c r="G13" s="24" t="str">
        <x:v>按任务建立加工单；单内显示全部明细</x:v>
      </x:c>
      <x:c r="H13" s="24" t="str">
        <x:v>整个任务；明细不可选择</x:v>
      </x:c>
      <x:c r="I13" s="24" t="str">
        <x:v>按任务建立加工单；单内显示全部补料明细</x:v>
      </x:c>
      <x:c r="J13" s="24" t="str">
        <x:v>是否适用待确认</x:v>
      </x:c>
      <x:c r="K13" s="24" t="str">
        <x:v>纸样/裁片部位 + 颜色/尺码 + 计划片数 + 菲票范围</x:v>
      </x:c>
      <x:c r="L13" s="24" t="str">
        <x:v>APF - 辅料工艺</x:v>
      </x:c>
      <x:c r="M13" s="24" t="str">
        <x:v>AUX-STRAIGHT-SHELL</x:v>
      </x:c>
      <x:c r="N13" s="24" t="str">
        <x:v>生产单来源已有工艺聚合模型</x:v>
      </x:c>
      <x:c r="O13" s="24" t="str"/>
    </x:row>
    <x:row r="14" ht="62" customHeight="1">
      <x:c r="A14" s="24" t="str">
        <x:v>C-010</x:v>
      </x:c>
      <x:c r="B14" s="24" t="str">
        <x:v>辅助工艺</x:v>
      </x:c>
      <x:c r="C14" s="24" t="str">
        <x:v>盘扣</x:v>
      </x:c>
      <x:c r="D14" s="24" t="str">
        <x:v>捆条</x:v>
      </x:c>
      <x:c r="E14" s="24" t="str">
        <x:v>技术包纸样包的捆条行</x:v>
      </x:c>
      <x:c r="F14" s="24" t="str">
        <x:v>整个任务；明细不可选择</x:v>
      </x:c>
      <x:c r="G14" s="24" t="str">
        <x:v>按任务建立加工单；单内显示全部明细</x:v>
      </x:c>
      <x:c r="H14" s="24" t="str">
        <x:v>整个任务；明细不可选择</x:v>
      </x:c>
      <x:c r="I14" s="24" t="str">
        <x:v>按任务建立加工单；单内显示全部补料明细</x:v>
      </x:c>
      <x:c r="J14" s="24" t="str">
        <x:v>是否适用待确认</x:v>
      </x:c>
      <x:c r="K14" s="24" t="str">
        <x:v>标记盘扣的捆条行 + 捆条菲票 + 投入张/追溯米数 + BOM产出单位</x:v>
      </x:c>
      <x:c r="L14" s="24" t="str">
        <x:v>APF - 辅料工艺</x:v>
      </x:c>
      <x:c r="M14" s="24" t="str">
        <x:v>AUX-BUTTON-LOOP</x:v>
      </x:c>
      <x:c r="N14" s="24" t="str">
        <x:v>一单多捆条/菲票已支持；输出单位代码仍写死为个</x:v>
      </x:c>
      <x:c r="O14" s="24" t="str">
        <x:v>产出单位取技术包BOM，允许个/对；不得按捆条或菲票拆加工单。</x:v>
      </x:c>
    </x:row>
    <x:row r="15" ht="62" customHeight="1">
      <x:c r="A15" s="24" t="str">
        <x:v>C-011</x:v>
      </x:c>
      <x:c r="B15" s="24" t="str">
        <x:v>辅助工艺</x:v>
      </x:c>
      <x:c r="C15" s="24" t="str">
        <x:v>花朵</x:v>
      </x:c>
      <x:c r="D15" s="24" t="str">
        <x:v>裁片</x:v>
      </x:c>
      <x:c r="E15" s="24" t="str">
        <x:v>技术包纸样裁片部位</x:v>
      </x:c>
      <x:c r="F15" s="24" t="str">
        <x:v>整个任务；明细不可选择</x:v>
      </x:c>
      <x:c r="G15" s="24" t="str">
        <x:v>按任务建立加工单；单内显示全部明细</x:v>
      </x:c>
      <x:c r="H15" s="24" t="str">
        <x:v>整个任务；明细不可选择</x:v>
      </x:c>
      <x:c r="I15" s="24" t="str">
        <x:v>按任务建立加工单；单内显示全部补料明细</x:v>
      </x:c>
      <x:c r="J15" s="24" t="str">
        <x:v>是否适用待确认</x:v>
      </x:c>
      <x:c r="K15" s="24" t="str">
        <x:v>纸样/裁片部位 + 颜色/尺码 + 计划片数 + 菲票范围</x:v>
      </x:c>
      <x:c r="L15" s="24" t="str">
        <x:v>APF - 辅料工艺</x:v>
      </x:c>
      <x:c r="M15" s="24" t="str">
        <x:v>AUX-FLOWER</x:v>
      </x:c>
      <x:c r="N15" s="24" t="str">
        <x:v>生产单来源已有工艺聚合模型</x:v>
      </x:c>
      <x:c r="O15" s="24" t="str"/>
    </x:row>
    <x:row r="16" ht="62" customHeight="1">
      <x:c r="A16" s="24" t="str">
        <x:v>C-012</x:v>
      </x:c>
      <x:c r="B16" s="24" t="str">
        <x:v>辅助工艺</x:v>
      </x:c>
      <x:c r="C16" s="24" t="str">
        <x:v>打褶</x:v>
      </x:c>
      <x:c r="D16" s="24" t="str">
        <x:v>裁片</x:v>
      </x:c>
      <x:c r="E16" s="24" t="str">
        <x:v>技术包纸样裁片部位</x:v>
      </x:c>
      <x:c r="F16" s="24" t="str">
        <x:v>整个任务；明细不可选择</x:v>
      </x:c>
      <x:c r="G16" s="24" t="str">
        <x:v>按任务建立加工单；单内显示全部明细</x:v>
      </x:c>
      <x:c r="H16" s="24" t="str">
        <x:v>整个任务；明细不可选择</x:v>
      </x:c>
      <x:c r="I16" s="24" t="str">
        <x:v>按任务建立加工单；单内显示全部补料明细</x:v>
      </x:c>
      <x:c r="J16" s="24" t="str">
        <x:v>是否适用待确认</x:v>
      </x:c>
      <x:c r="K16" s="24" t="str">
        <x:v>纸样/裁片部位 + 颜色/尺码 + 计划片数 + 菲票范围</x:v>
      </x:c>
      <x:c r="L16" s="24" t="str">
        <x:v>APF - 辅料工艺</x:v>
      </x:c>
      <x:c r="M16" s="24" t="str">
        <x:v>AUX-GATHERING</x:v>
      </x:c>
      <x:c r="N16" s="24" t="str">
        <x:v>生产单来源已有工艺聚合模型</x:v>
      </x:c>
      <x:c r="O16" s="24" t="str"/>
    </x:row>
    <x:row r="17" ht="62" customHeight="1">
      <x:c r="A17" s="24" t="str">
        <x:v>C-013</x:v>
      </x:c>
      <x:c r="B17" s="24" t="str">
        <x:v>辅助工艺</x:v>
      </x:c>
      <x:c r="C17" s="24" t="str">
        <x:v>烫钻</x:v>
      </x:c>
      <x:c r="D17" s="24" t="str">
        <x:v>裁片</x:v>
      </x:c>
      <x:c r="E17" s="24" t="str">
        <x:v>技术包纸样裁片部位</x:v>
      </x:c>
      <x:c r="F17" s="24" t="str">
        <x:v>整个任务；明细不可选择</x:v>
      </x:c>
      <x:c r="G17" s="24" t="str">
        <x:v>按任务建立加工单；单内显示全部明细</x:v>
      </x:c>
      <x:c r="H17" s="24" t="str">
        <x:v>整个任务；明细不可选择</x:v>
      </x:c>
      <x:c r="I17" s="24" t="str">
        <x:v>按任务建立加工单；单内显示全部补料明细</x:v>
      </x:c>
      <x:c r="J17" s="24" t="str">
        <x:v>是否适用待确认</x:v>
      </x:c>
      <x:c r="K17" s="24" t="str">
        <x:v>纸样/裁片部位 + 颜色/尺码 + 计划片数 + 菲票范围</x:v>
      </x:c>
      <x:c r="L17" s="24" t="str">
        <x:v>APF - 辅料工艺</x:v>
      </x:c>
      <x:c r="M17" s="24" t="str">
        <x:v>AUX-HOTFIX</x:v>
      </x:c>
      <x:c r="N17" s="24" t="str">
        <x:v>生产单来源已有工艺聚合模型</x:v>
      </x:c>
      <x:c r="O17" s="24" t="str"/>
    </x:row>
    <x:row r="18" ht="62" customHeight="1">
      <x:c r="A18" s="24" t="str">
        <x:v>C-014</x:v>
      </x:c>
      <x:c r="B18" s="24" t="str">
        <x:v>特种工艺</x:v>
      </x:c>
      <x:c r="C18" s="24" t="str">
        <x:v>模板工序</x:v>
      </x:c>
      <x:c r="D18" s="24" t="str">
        <x:v>裁片</x:v>
      </x:c>
      <x:c r="E18" s="24" t="str">
        <x:v>技术包纸样裁片部位</x:v>
      </x:c>
      <x:c r="F18" s="24" t="str">
        <x:v>整个任务；明细不可选择</x:v>
      </x:c>
      <x:c r="G18" s="24" t="str">
        <x:v>按任务建立加工单；单内显示全部明细</x:v>
      </x:c>
      <x:c r="H18" s="24" t="str">
        <x:v>整个任务；明细不可选择</x:v>
      </x:c>
      <x:c r="I18" s="24" t="str">
        <x:v>按任务建立加工单；单内显示全部补料明细</x:v>
      </x:c>
      <x:c r="J18" s="24" t="str">
        <x:v>是否适用待确认</x:v>
      </x:c>
      <x:c r="K18" s="24" t="str">
        <x:v>纸样/裁片部位 + 颜色/尺码 + 计划片数 + 菲票范围</x:v>
      </x:c>
      <x:c r="L18" s="24" t="str">
        <x:v>SPF - 特种工艺</x:v>
      </x:c>
      <x:c r="M18" s="24" t="str">
        <x:v>SPC-TEMPLATE</x:v>
      </x:c>
      <x:c r="N18" s="24" t="str">
        <x:v>生产单来源已有工艺聚合模型</x:v>
      </x:c>
      <x:c r="O18" s="24" t="str">
        <x:v>现代工艺字典</x:v>
      </x:c>
    </x:row>
    <x:row r="19" ht="62" customHeight="1">
      <x:c r="A19" s="24" t="str">
        <x:v>C-015</x:v>
      </x:c>
      <x:c r="B19" s="24" t="str">
        <x:v>特种工艺</x:v>
      </x:c>
      <x:c r="C19" s="24" t="str">
        <x:v>激光开袋</x:v>
      </x:c>
      <x:c r="D19" s="24" t="str">
        <x:v>裁片</x:v>
      </x:c>
      <x:c r="E19" s="24" t="str">
        <x:v>技术包纸样裁片部位</x:v>
      </x:c>
      <x:c r="F19" s="24" t="str">
        <x:v>整个任务；明细不可选择</x:v>
      </x:c>
      <x:c r="G19" s="24" t="str">
        <x:v>按任务建立加工单；单内显示全部明细</x:v>
      </x:c>
      <x:c r="H19" s="24" t="str">
        <x:v>整个任务；明细不可选择</x:v>
      </x:c>
      <x:c r="I19" s="24" t="str">
        <x:v>按任务建立加工单；单内显示全部补料明细</x:v>
      </x:c>
      <x:c r="J19" s="24" t="str">
        <x:v>是否适用待确认</x:v>
      </x:c>
      <x:c r="K19" s="24" t="str">
        <x:v>纸样/裁片部位 + 颜色/尺码 + 计划片数 + 菲票范围</x:v>
      </x:c>
      <x:c r="L19" s="24" t="str">
        <x:v>SPF - 特种工艺</x:v>
      </x:c>
      <x:c r="M19" s="24" t="str">
        <x:v>SPC-LASER-POCKET</x:v>
      </x:c>
      <x:c r="N19" s="24" t="str">
        <x:v>生产单来源已有工艺聚合模型</x:v>
      </x:c>
      <x:c r="O19" s="24" t="str">
        <x:v>现代工艺字典</x:v>
      </x:c>
    </x:row>
    <x:row r="20" ht="62" customHeight="1">
      <x:c r="A20" s="24" t="str">
        <x:v>C-016</x:v>
      </x:c>
      <x:c r="B20" s="24" t="str">
        <x:v>特种工艺</x:v>
      </x:c>
      <x:c r="C20" s="24" t="str">
        <x:v>特种车缝（花样机）</x:v>
      </x:c>
      <x:c r="D20" s="24" t="str">
        <x:v>裁片</x:v>
      </x:c>
      <x:c r="E20" s="24" t="str">
        <x:v>技术包纸样裁片部位</x:v>
      </x:c>
      <x:c r="F20" s="24" t="str">
        <x:v>整个任务；明细不可选择</x:v>
      </x:c>
      <x:c r="G20" s="24" t="str">
        <x:v>按任务建立加工单；单内显示全部明细</x:v>
      </x:c>
      <x:c r="H20" s="24" t="str">
        <x:v>整个任务；明细不可选择</x:v>
      </x:c>
      <x:c r="I20" s="24" t="str">
        <x:v>按任务建立加工单；单内显示全部补料明细</x:v>
      </x:c>
      <x:c r="J20" s="24" t="str">
        <x:v>是否适用待确认</x:v>
      </x:c>
      <x:c r="K20" s="24" t="str">
        <x:v>纸样/裁片部位 + 颜色/尺码 + 计划片数 + 菲票范围</x:v>
      </x:c>
      <x:c r="L20" s="24" t="str">
        <x:v>SPF - 特种工艺</x:v>
      </x:c>
      <x:c r="M20" s="24" t="str">
        <x:v>SPC-PATTERN-SEW</x:v>
      </x:c>
      <x:c r="N20" s="24" t="str">
        <x:v>生产单来源已有工艺聚合模型</x:v>
      </x:c>
      <x:c r="O20" s="24" t="str">
        <x:v>现代工艺字典</x:v>
      </x:c>
    </x:row>
    <x:row r="21" ht="62" customHeight="1">
      <x:c r="A21" s="24" t="str">
        <x:v>C-017</x:v>
      </x:c>
      <x:c r="B21" s="24" t="str">
        <x:v>特种工艺</x:v>
      </x:c>
      <x:c r="C21" s="24" t="str">
        <x:v>橡筋定长切割</x:v>
      </x:c>
      <x:c r="D21" s="24" t="str">
        <x:v>辅料</x:v>
      </x:c>
      <x:c r="E21" s="24" t="str">
        <x:v>BOM辅料行</x:v>
      </x:c>
      <x:c r="F21" s="24" t="str">
        <x:v>整个任务；明细不可选择</x:v>
      </x:c>
      <x:c r="G21" s="24" t="str">
        <x:v>按任务建立加工单；单内显示全部明细</x:v>
      </x:c>
      <x:c r="H21" s="24" t="str">
        <x:v>整个任务；明细不可选择</x:v>
      </x:c>
      <x:c r="I21" s="24" t="str">
        <x:v>按任务建立加工单；单内显示全部补料明细</x:v>
      </x:c>
      <x:c r="J21" s="24" t="str">
        <x:v>是否适用待确认</x:v>
      </x:c>
      <x:c r="K21" s="24" t="str">
        <x:v>BOM辅料行 + 规格/定长规则 + 数量/单位</x:v>
      </x:c>
      <x:c r="L21" s="24" t="str">
        <x:v>SPF - 特种工艺</x:v>
      </x:c>
      <x:c r="M21" s="24" t="str">
        <x:v>SPC-ELASTIC-CUT</x:v>
      </x:c>
      <x:c r="N21" s="24" t="str">
        <x:v>生产单来源已有工艺聚合模型</x:v>
      </x:c>
      <x:c r="O21" s="24" t="str">
        <x:v>现代字典目标对象为辅料；当前operation seed仍投影为裁片</x:v>
      </x:c>
    </x:row>
    <x:row r="22" ht="62" customHeight="1">
      <x:c r="A22" s="24" t="str">
        <x:v>C-018</x:v>
      </x:c>
      <x:c r="B22" s="24" t="str">
        <x:v>特种工艺</x:v>
      </x:c>
      <x:c r="C22" s="24" t="str">
        <x:v>激光切</x:v>
      </x:c>
      <x:c r="D22" s="24" t="str">
        <x:v>裁片</x:v>
      </x:c>
      <x:c r="E22" s="24" t="str">
        <x:v>技术包纸样裁片部位</x:v>
      </x:c>
      <x:c r="F22" s="24" t="str">
        <x:v>整个任务；明细不可选择</x:v>
      </x:c>
      <x:c r="G22" s="24" t="str">
        <x:v>按任务建立加工单；单内显示全部明细</x:v>
      </x:c>
      <x:c r="H22" s="24" t="str">
        <x:v>整个任务；明细不可选择</x:v>
      </x:c>
      <x:c r="I22" s="24" t="str">
        <x:v>按任务建立加工单；单内显示全部补料明细</x:v>
      </x:c>
      <x:c r="J22" s="24" t="str">
        <x:v>是否适用待确认</x:v>
      </x:c>
      <x:c r="K22" s="24" t="str">
        <x:v>纸样/裁片部位 + 颜色/尺码 + 计划片数 + 菲票范围</x:v>
      </x:c>
      <x:c r="L22" s="24" t="str">
        <x:v>SPF - 特种工艺</x:v>
      </x:c>
      <x:c r="M22" s="24" t="str">
        <x:v>SPC-LASER-CUT-LEGACY</x:v>
      </x:c>
      <x:c r="N22" s="24" t="str">
        <x:v>生产单来源已有工艺聚合模型</x:v>
      </x:c>
      <x:c r="O22" s="24" t="str">
        <x:v>当前运行任务/旧字典存在，但未进入现代特种工艺清单</x:v>
      </x:c>
    </x:row>
  </x:sheetData>
  <x:mergeCells>
    <x:mergeCell ref="A1:O1"/>
    <x:mergeCell ref="A2:O2"/>
  </x:mergeCells>
  <x:conditionalFormatting sqref="B5:B22">
    <x:cfRule type="containsText" dxfId="10" priority="1" operator="containsText" text="辅助工艺"/>
    <x:cfRule type="containsText" dxfId="11" priority="2" operator="containsText" text="特种工艺"/>
  </x:conditionalFormatting>
  <x:conditionalFormatting sqref="J5:J22">
    <x:cfRule type="containsText" dxfId="12" priority="3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dae5fa15d59841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6.670000076293945" hidden="0" customWidth="1"/>
    <x:col min="3" max="3" width="16.110000610351562" hidden="0" customWidth="1"/>
    <x:col min="4" max="4" width="20" hidden="0" customWidth="1"/>
    <x:col min="5" max="5" width="8.890000343322754" hidden="0" customWidth="1"/>
    <x:col min="6" max="6" width="15.5600004196167" hidden="0" customWidth="1"/>
    <x:col min="7" max="7" width="13.329999923706055" hidden="0" customWidth="1"/>
    <x:col min="8" max="8" width="15.5600004196167" hidden="0" customWidth="1"/>
    <x:col min="9" max="9" width="25.559999465942383" hidden="0" customWidth="1"/>
    <x:col min="10" max="10" width="25.559999465942383" hidden="0" customWidth="1"/>
    <x:col min="11" max="11" width="16.670000076293945" hidden="0" customWidth="1"/>
    <x:col min="12" max="12" width="36.66999816894531" hidden="0" customWidth="1"/>
  </x:cols>
  <x:sheetData>
    <x:row r="1" ht="30" customHeight="1">
      <x:c r="A1" s="3" t="str">
        <x:v>当前工序工艺字典逐项映射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共 39 条当前活动工艺映射；用于证明主矩阵没有遗漏代码中的任务/工艺别名，并标出重复路径、旧路径和待归类项。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15" t="str">
        <x:v>编号</x:v>
      </x:c>
      <x:c r="B4" s="16" t="str">
        <x:v>工序代码</x:v>
      </x:c>
      <x:c r="C4" s="16" t="str">
        <x:v>工艺代码</x:v>
      </x:c>
      <x:c r="D4" s="16" t="str">
        <x:v>工艺名称</x:v>
      </x:c>
      <x:c r="E4" s="16" t="str">
        <x:v>阶段</x:v>
      </x:c>
      <x:c r="F4" s="16" t="str">
        <x:v>当前角色/单据</x:v>
      </x:c>
      <x:c r="G4" s="16" t="str">
        <x:v>当前分配粒度</x:v>
      </x:c>
      <x:c r="H4" s="16" t="str">
        <x:v>当前加工对象</x:v>
      </x:c>
      <x:c r="I4" s="16" t="str">
        <x:v>映射到主矩阵类型</x:v>
      </x:c>
      <x:c r="J4" s="16" t="str">
        <x:v>业务处理</x:v>
      </x:c>
      <x:c r="K4" s="16" t="str">
        <x:v>映射状态</x:v>
      </x:c>
      <x:c r="L4" s="17" t="str">
        <x:v>备注</x:v>
      </x:c>
    </x:row>
    <x:row r="5" ht="54" customHeight="1">
      <x:c r="A5" s="23" t="str">
        <x:v>D-001</x:v>
      </x:c>
      <x:c r="B5" s="23" t="str">
        <x:v>CUT_PANEL</x:v>
      </x:c>
      <x:c r="C5" s="23" t="str">
        <x:v>CRAFT_000001</x:v>
      </x:c>
      <x:c r="D5" s="23" t="str">
        <x:v>定位裁</x:v>
      </x:c>
      <x:c r="E5" s="23" t="str">
        <x:v>PROD</x:v>
      </x:c>
      <x:c r="F5" s="23" t="str">
        <x:v>外部任务</x:v>
      </x:c>
      <x:c r="G5" s="23" t="str">
        <x:v>ORDER</x:v>
      </x:c>
      <x:c r="H5" s="23" t="str">
        <x:v>裁片部位</x:v>
      </x:c>
      <x:c r="I5" s="23" t="str">
        <x:v>PROD-CUTTING</x:v>
      </x:c>
      <x:c r="J5" s="23" t="str">
        <x:v>沿用裁片任务规则</x:v>
      </x:c>
      <x:c r="K5" s="23" t="str">
        <x:v>已映射</x:v>
      </x:c>
      <x:c r="L5" s="23" t="str">
        <x:v>定位裁是裁片工艺子类型，不单独发明分配/生成规则。</x:v>
      </x:c>
    </x:row>
    <x:row r="6" ht="54" customHeight="1">
      <x:c r="A6" s="24" t="str">
        <x:v>D-002</x:v>
      </x:c>
      <x:c r="B6" s="24" t="str">
        <x:v>EMBROIDERY</x:v>
      </x:c>
      <x:c r="C6" s="24" t="str">
        <x:v>CRAFT_000002</x:v>
      </x:c>
      <x:c r="D6" s="24" t="str">
        <x:v>绣花</x:v>
      </x:c>
      <x:c r="E6" s="24" t="str">
        <x:v>PROD</x:v>
      </x:c>
      <x:c r="F6" s="24" t="str">
        <x:v>外部任务</x:v>
      </x:c>
      <x:c r="G6" s="24" t="str">
        <x:v>ORDER</x:v>
      </x:c>
      <x:c r="H6" s="24" t="str">
        <x:v>裁片部位</x:v>
      </x:c>
      <x:c r="I6" s="24" t="str">
        <x:v>AUX-EMBROIDERY</x:v>
      </x:c>
      <x:c r="J6" s="24" t="str">
        <x:v>归入辅助工艺</x:v>
      </x:c>
      <x:c r="K6" s="24" t="str">
        <x:v>重复路径待收口</x:v>
      </x:c>
      <x:c r="L6" s="24" t="str">
        <x:v>代码同时存在独立EMBROIDERY与SPECIAL_CRAFT绣花路径。</x:v>
      </x:c>
    </x:row>
    <x:row r="7" ht="54" customHeight="1">
      <x:c r="A7" s="24" t="str">
        <x:v>D-003</x:v>
      </x:c>
      <x:c r="B7" s="24" t="str">
        <x:v>PLEATING</x:v>
      </x:c>
      <x:c r="C7" s="24" t="str">
        <x:v>CRAFT_000004</x:v>
      </x:c>
      <x:c r="D7" s="24" t="str">
        <x:v>压褶</x:v>
      </x:c>
      <x:c r="E7" s="24" t="str">
        <x:v>PROD</x:v>
      </x:c>
      <x:c r="F7" s="24" t="str">
        <x:v>外部任务</x:v>
      </x:c>
      <x:c r="G7" s="24" t="str">
        <x:v>ORDER</x:v>
      </x:c>
      <x:c r="H7" s="24" t="str">
        <x:v>裁片部位</x:v>
      </x:c>
      <x:c r="I7" s="24" t="str">
        <x:v>AUX-PLEATING</x:v>
      </x:c>
      <x:c r="J7" s="24" t="str">
        <x:v>归入辅助工艺</x:v>
      </x:c>
      <x:c r="K7" s="24" t="str">
        <x:v>重复路径待收口</x:v>
      </x:c>
      <x:c r="L7" s="24" t="str">
        <x:v>压褶与打褶是两个不同工艺；代码同时存在独立PLEATING与SPECIAL_CRAFT压褶路径。</x:v>
      </x:c>
    </x:row>
    <x:row r="8" ht="54" customHeight="1">
      <x:c r="A8" s="24" t="str">
        <x:v>D-004</x:v>
      </x:c>
      <x:c r="B8" s="24" t="str">
        <x:v>SPECIAL_CRAFT</x:v>
      </x:c>
      <x:c r="C8" s="24" t="str">
        <x:v>CRAFT_000008</x:v>
      </x:c>
      <x:c r="D8" s="24" t="str">
        <x:v>打揽</x:v>
      </x:c>
      <x:c r="E8" s="24" t="str">
        <x:v>PROD</x:v>
      </x:c>
      <x:c r="F8" s="24" t="str">
        <x:v>外部任务</x:v>
      </x:c>
      <x:c r="G8" s="24" t="str">
        <x:v>ORDER</x:v>
      </x:c>
      <x:c r="H8" s="24" t="str">
        <x:v>裁片部位</x:v>
      </x:c>
      <x:c r="I8" s="24" t="str">
        <x:v>AUX-DALAN</x:v>
      </x:c>
      <x:c r="J8" s="24" t="str">
        <x:v>归入辅助工艺</x:v>
      </x:c>
      <x:c r="K8" s="24" t="str">
        <x:v>已映射</x:v>
      </x:c>
      <x:c r="L8" s="24" t="str"/>
    </x:row>
    <x:row r="9" ht="54" customHeight="1">
      <x:c r="A9" s="24" t="str">
        <x:v>D-005</x:v>
      </x:c>
      <x:c r="B9" s="24" t="str">
        <x:v>CUT_PANEL</x:v>
      </x:c>
      <x:c r="C9" s="24" t="str">
        <x:v>CRAFT_000016</x:v>
      </x:c>
      <x:c r="D9" s="24" t="str">
        <x:v>定向裁</x:v>
      </x:c>
      <x:c r="E9" s="24" t="str">
        <x:v>PROD</x:v>
      </x:c>
      <x:c r="F9" s="24" t="str">
        <x:v>外部任务</x:v>
      </x:c>
      <x:c r="G9" s="24" t="str">
        <x:v>ORDER</x:v>
      </x:c>
      <x:c r="H9" s="24" t="str">
        <x:v>裁片部位</x:v>
      </x:c>
      <x:c r="I9" s="24" t="str">
        <x:v>PROD-CUTTING</x:v>
      </x:c>
      <x:c r="J9" s="24" t="str">
        <x:v>沿用裁片任务规则</x:v>
      </x:c>
      <x:c r="K9" s="24" t="str">
        <x:v>已映射</x:v>
      </x:c>
      <x:c r="L9" s="24" t="str">
        <x:v>定向裁是裁片工艺子类型。</x:v>
      </x:c>
    </x:row>
    <x:row r="10" ht="54" customHeight="1">
      <x:c r="A10" s="24" t="str">
        <x:v>D-006</x:v>
      </x:c>
      <x:c r="B10" s="24" t="str">
        <x:v>SPECIAL_CRAFT</x:v>
      </x:c>
      <x:c r="C10" s="24" t="str">
        <x:v>CRAFT_000032</x:v>
      </x:c>
      <x:c r="D10" s="24" t="str">
        <x:v>打条</x:v>
      </x:c>
      <x:c r="E10" s="24" t="str">
        <x:v>PROD</x:v>
      </x:c>
      <x:c r="F10" s="24" t="str">
        <x:v>外部任务</x:v>
      </x:c>
      <x:c r="G10" s="24" t="str">
        <x:v>ORDER</x:v>
      </x:c>
      <x:c r="H10" s="24" t="str">
        <x:v>裁片部位</x:v>
      </x:c>
      <x:c r="I10" s="24" t="str">
        <x:v>AUX-STRIP</x:v>
      </x:c>
      <x:c r="J10" s="24" t="str">
        <x:v>归入辅助工艺</x:v>
      </x:c>
      <x:c r="K10" s="24" t="str">
        <x:v>已映射</x:v>
      </x:c>
      <x:c r="L10" s="24" t="str"/>
    </x:row>
    <x:row r="11" ht="54" customHeight="1">
      <x:c r="A11" s="24" t="str">
        <x:v>D-007</x:v>
      </x:c>
      <x:c r="B11" s="24" t="str">
        <x:v>SPECIAL_CRAFT</x:v>
      </x:c>
      <x:c r="C11" s="24" t="str">
        <x:v>CRAFT_000064</x:v>
      </x:c>
      <x:c r="D11" s="24" t="str">
        <x:v>激光切</x:v>
      </x:c>
      <x:c r="E11" s="24" t="str">
        <x:v>PROD</x:v>
      </x:c>
      <x:c r="F11" s="24" t="str">
        <x:v>外部任务</x:v>
      </x:c>
      <x:c r="G11" s="24" t="str">
        <x:v>ORDER</x:v>
      </x:c>
      <x:c r="H11" s="24" t="str">
        <x:v>裁片部位</x:v>
      </x:c>
      <x:c r="I11" s="24" t="str">
        <x:v>SPC-LASER-CUT-LEGACY</x:v>
      </x:c>
      <x:c r="J11" s="24" t="str">
        <x:v>归入特种工艺</x:v>
      </x:c>
      <x:c r="K11" s="24" t="str">
        <x:v>待收口</x:v>
      </x:c>
      <x:c r="L11" s="24" t="str">
        <x:v>当前运行任务/旧字典存在，但未进入现代特种工艺清单。</x:v>
      </x:c>
    </x:row>
    <x:row r="12" ht="54" customHeight="1">
      <x:c r="A12" s="24" t="str">
        <x:v>D-008</x:v>
      </x:c>
      <x:c r="B12" s="24" t="str">
        <x:v>BUTTON_ATTACH</x:v>
      </x:c>
      <x:c r="C12" s="24" t="str">
        <x:v>CRAFT_000256</x:v>
      </x:c>
      <x:c r="D12" s="24" t="str">
        <x:v>手缝扣</x:v>
      </x:c>
      <x:c r="E12" s="24" t="str">
        <x:v>POST</x:v>
      </x:c>
      <x:c r="F12" s="24" t="str">
        <x:v>内部节点</x:v>
      </x:c>
      <x:c r="G12" s="24" t="str">
        <x:v>SKU</x:v>
      </x:c>
      <x:c r="H12" s="24" t="str">
        <x:v>辅料</x:v>
      </x:c>
      <x:c r="I12" s="24" t="str">
        <x:v>POST-BUTTON-ATTACH</x:v>
      </x:c>
      <x:c r="J12" s="24" t="str">
        <x:v>作为装扣子节点子类型</x:v>
      </x:c>
      <x:c r="K12" s="24" t="str">
        <x:v>已映射</x:v>
      </x:c>
      <x:c r="L12" s="24" t="str">
        <x:v>不独立分配或生成加工单。</x:v>
      </x:c>
    </x:row>
    <x:row r="13" ht="54" customHeight="1">
      <x:c r="A13" s="24" t="str">
        <x:v>D-009</x:v>
      </x:c>
      <x:c r="B13" s="24" t="str">
        <x:v>BUTTON_ATTACH</x:v>
      </x:c>
      <x:c r="C13" s="24" t="str">
        <x:v>CRAFT_000512</x:v>
      </x:c>
      <x:c r="D13" s="24" t="str">
        <x:v>机打扣</x:v>
      </x:c>
      <x:c r="E13" s="24" t="str">
        <x:v>POST</x:v>
      </x:c>
      <x:c r="F13" s="24" t="str">
        <x:v>内部节点</x:v>
      </x:c>
      <x:c r="G13" s="24" t="str">
        <x:v>SKU</x:v>
      </x:c>
      <x:c r="H13" s="24" t="str">
        <x:v>辅料</x:v>
      </x:c>
      <x:c r="I13" s="24" t="str">
        <x:v>POST-BUTTON-ATTACH</x:v>
      </x:c>
      <x:c r="J13" s="24" t="str">
        <x:v>作为装扣子节点子类型</x:v>
      </x:c>
      <x:c r="K13" s="24" t="str">
        <x:v>已映射</x:v>
      </x:c>
      <x:c r="L13" s="24" t="str">
        <x:v>不独立分配或生成加工单。</x:v>
      </x:c>
    </x:row>
    <x:row r="14" ht="54" customHeight="1">
      <x:c r="A14" s="24" t="str">
        <x:v>D-010</x:v>
      </x:c>
      <x:c r="B14" s="24" t="str">
        <x:v>BUTTON_ATTACH</x:v>
      </x:c>
      <x:c r="C14" s="24" t="str">
        <x:v>CRAFT_001024</x:v>
      </x:c>
      <x:c r="D14" s="24" t="str">
        <x:v>四爪扣</x:v>
      </x:c>
      <x:c r="E14" s="24" t="str">
        <x:v>POST</x:v>
      </x:c>
      <x:c r="F14" s="24" t="str">
        <x:v>内部节点</x:v>
      </x:c>
      <x:c r="G14" s="24" t="str">
        <x:v>SKU</x:v>
      </x:c>
      <x:c r="H14" s="24" t="str">
        <x:v>辅料</x:v>
      </x:c>
      <x:c r="I14" s="24" t="str">
        <x:v>POST-BUTTON-ATTACH</x:v>
      </x:c>
      <x:c r="J14" s="24" t="str">
        <x:v>作为装扣子节点子类型</x:v>
      </x:c>
      <x:c r="K14" s="24" t="str">
        <x:v>已映射</x:v>
      </x:c>
      <x:c r="L14" s="24" t="str">
        <x:v>不独立分配或生成加工单。</x:v>
      </x:c>
    </x:row>
    <x:row r="15" ht="54" customHeight="1">
      <x:c r="A15" s="24" t="str">
        <x:v>D-011</x:v>
      </x:c>
      <x:c r="B15" s="24" t="str">
        <x:v>SPECIAL_CRAFT</x:v>
      </x:c>
      <x:c r="C15" s="24" t="str">
        <x:v>CRAFT_008192</x:v>
      </x:c>
      <x:c r="D15" s="24" t="str">
        <x:v>烫画</x:v>
      </x:c>
      <x:c r="E15" s="24" t="str">
        <x:v>PROD</x:v>
      </x:c>
      <x:c r="F15" s="24" t="str">
        <x:v>外部任务</x:v>
      </x:c>
      <x:c r="G15" s="24" t="str">
        <x:v>ORDER</x:v>
      </x:c>
      <x:c r="H15" s="24" t="str">
        <x:v>成衣</x:v>
      </x:c>
      <x:c r="I15" s="24" t="str">
        <x:v>AUX-HEAT-TRANSFER</x:v>
      </x:c>
      <x:c r="J15" s="24" t="str">
        <x:v>归入辅助工艺；FLOWER承接</x:v>
      </x:c>
      <x:c r="K15" s="24" t="str">
        <x:v>已映射</x:v>
      </x:c>
      <x:c r="L15" s="24" t="str"/>
    </x:row>
    <x:row r="16" ht="54" customHeight="1">
      <x:c r="A16" s="24" t="str">
        <x:v>D-012</x:v>
      </x:c>
      <x:c r="B16" s="24" t="str">
        <x:v>SPECIAL_CRAFT</x:v>
      </x:c>
      <x:c r="C16" s="24" t="str">
        <x:v>CRAFT_016384</x:v>
      </x:c>
      <x:c r="D16" s="24" t="str">
        <x:v>直喷</x:v>
      </x:c>
      <x:c r="E16" s="24" t="str">
        <x:v>PROD</x:v>
      </x:c>
      <x:c r="F16" s="24" t="str">
        <x:v>外部任务</x:v>
      </x:c>
      <x:c r="G16" s="24" t="str">
        <x:v>ORDER</x:v>
      </x:c>
      <x:c r="H16" s="24" t="str">
        <x:v>裁片部位</x:v>
      </x:c>
      <x:c r="I16" s="24" t="str">
        <x:v>AUX-DIRECT-PRINT</x:v>
      </x:c>
      <x:c r="J16" s="24" t="str">
        <x:v>归入辅助工艺；FLOWER承接</x:v>
      </x:c>
      <x:c r="K16" s="24" t="str">
        <x:v>已映射</x:v>
      </x:c>
      <x:c r="L16" s="24" t="str"/>
    </x:row>
    <x:row r="17" ht="54" customHeight="1">
      <x:c r="A17" s="24" t="str">
        <x:v>D-013</x:v>
      </x:c>
      <x:c r="B17" s="24" t="str">
        <x:v>BUTTON_ATTACH</x:v>
      </x:c>
      <x:c r="C17" s="24" t="str">
        <x:v>CRAFT_032768</x:v>
      </x:c>
      <x:c r="D17" s="24" t="str">
        <x:v>布包扣</x:v>
      </x:c>
      <x:c r="E17" s="24" t="str">
        <x:v>POST</x:v>
      </x:c>
      <x:c r="F17" s="24" t="str">
        <x:v>内部节点</x:v>
      </x:c>
      <x:c r="G17" s="24" t="str">
        <x:v>SKU</x:v>
      </x:c>
      <x:c r="H17" s="24" t="str">
        <x:v>辅料</x:v>
      </x:c>
      <x:c r="I17" s="24" t="str">
        <x:v>POST-BUTTON-ATTACH</x:v>
      </x:c>
      <x:c r="J17" s="24" t="str">
        <x:v>作为装扣子节点子类型</x:v>
      </x:c>
      <x:c r="K17" s="24" t="str">
        <x:v>已映射</x:v>
      </x:c>
      <x:c r="L17" s="24" t="str">
        <x:v>不独立分配或生成加工单。</x:v>
      </x:c>
    </x:row>
    <x:row r="18" ht="54" customHeight="1">
      <x:c r="A18" s="24" t="str">
        <x:v>D-014</x:v>
      </x:c>
      <x:c r="B18" s="24" t="str">
        <x:v>SPECIAL_CRAFT</x:v>
      </x:c>
      <x:c r="C18" s="24" t="str">
        <x:v>CRAFT_131072</x:v>
      </x:c>
      <x:c r="D18" s="24" t="str">
        <x:v>捆条</x:v>
      </x:c>
      <x:c r="E18" s="24" t="str">
        <x:v>PROD</x:v>
      </x:c>
      <x:c r="F18" s="24" t="str">
        <x:v>外部任务</x:v>
      </x:c>
      <x:c r="G18" s="24" t="str">
        <x:v>ORDER</x:v>
      </x:c>
      <x:c r="H18" s="24" t="str">
        <x:v>面料</x:v>
      </x:c>
      <x:c r="I18" s="24" t="str">
        <x:v>PROD-CUTTING（暂定）</x:v>
      </x:c>
      <x:c r="J18" s="24" t="str">
        <x:v>与纸样包捆条/盘扣的关系待确认</x:v>
      </x:c>
      <x:c r="K18" s="24" t="str">
        <x:v>待确认</x:v>
      </x:c>
      <x:c r="L18" s="24" t="str">
        <x:v>不得把“捆条工艺”与“盘扣加工对象为捆条”混为同一业务。</x:v>
      </x:c>
    </x:row>
    <x:row r="19" ht="54" customHeight="1">
      <x:c r="A19" s="24" t="str">
        <x:v>D-015</x:v>
      </x:c>
      <x:c r="B19" s="24" t="str">
        <x:v>SEW</x:v>
      </x:c>
      <x:c r="C19" s="24" t="str">
        <x:v>CRAFT_262144</x:v>
      </x:c>
      <x:c r="D19" s="24" t="str">
        <x:v>曲牙</x:v>
      </x:c>
      <x:c r="E19" s="24" t="str">
        <x:v>PROD</x:v>
      </x:c>
      <x:c r="F19" s="24" t="str">
        <x:v>外部任务</x:v>
      </x:c>
      <x:c r="G19" s="24" t="str">
        <x:v>SKU</x:v>
      </x:c>
      <x:c r="H19" s="24" t="str">
        <x:v>裁片部位</x:v>
      </x:c>
      <x:c r="I19" s="24" t="str">
        <x:v>PROD-SEW-INDEPENDENT（暂定）</x:v>
      </x:c>
      <x:c r="J19" s="24" t="str">
        <x:v>沿用车缝任务规则</x:v>
      </x:c>
      <x:c r="K19" s="24" t="str">
        <x:v>待确认</x:v>
      </x:c>
      <x:c r="L19" s="24" t="str">
        <x:v>需确认曲牙是独立车缝任务还是车缝任务内工艺。</x:v>
      </x:c>
    </x:row>
    <x:row r="20" ht="54" customHeight="1">
      <x:c r="A20" s="24" t="str">
        <x:v>D-016</x:v>
      </x:c>
      <x:c r="B20" s="24" t="str">
        <x:v>SEW</x:v>
      </x:c>
      <x:c r="C20" s="24" t="str">
        <x:v>CRAFT_262145</x:v>
      </x:c>
      <x:c r="D20" s="24" t="str">
        <x:v>基础连接</x:v>
      </x:c>
      <x:c r="E20" s="24" t="str">
        <x:v>PROD</x:v>
      </x:c>
      <x:c r="F20" s="24" t="str">
        <x:v>外部任务</x:v>
      </x:c>
      <x:c r="G20" s="24" t="str">
        <x:v>SKU</x:v>
      </x:c>
      <x:c r="H20" s="24" t="str">
        <x:v>裁片部位</x:v>
      </x:c>
      <x:c r="I20" s="24" t="str">
        <x:v>PROD-SEW-INDEPENDENT（暂定）</x:v>
      </x:c>
      <x:c r="J20" s="24" t="str">
        <x:v>沿用车缝任务规则</x:v>
      </x:c>
      <x:c r="K20" s="24" t="str">
        <x:v>待确认</x:v>
      </x:c>
      <x:c r="L20" s="24" t="str">
        <x:v>需确认是否只作为普通车缝基线。</x:v>
      </x:c>
    </x:row>
    <x:row r="21" ht="54" customHeight="1">
      <x:c r="A21" s="24" t="str">
        <x:v>D-017</x:v>
      </x:c>
      <x:c r="B21" s="24" t="str">
        <x:v>BUTTONHOLE</x:v>
      </x:c>
      <x:c r="C21" s="24" t="str">
        <x:v>CRAFT_524288</x:v>
      </x:c>
      <x:c r="D21" s="24" t="str">
        <x:v>开扣眼</x:v>
      </x:c>
      <x:c r="E21" s="24" t="str">
        <x:v>POST</x:v>
      </x:c>
      <x:c r="F21" s="24" t="str">
        <x:v>内部节点</x:v>
      </x:c>
      <x:c r="G21" s="24" t="str">
        <x:v>SKU</x:v>
      </x:c>
      <x:c r="H21" s="24" t="str">
        <x:v>裁片部位</x:v>
      </x:c>
      <x:c r="I21" s="24" t="str">
        <x:v>POST-BUTTONHOLE</x:v>
      </x:c>
      <x:c r="J21" s="24" t="str">
        <x:v>作为后道工序节点</x:v>
      </x:c>
      <x:c r="K21" s="24" t="str">
        <x:v>已映射</x:v>
      </x:c>
      <x:c r="L21" s="24" t="str">
        <x:v>不独立分配或生成加工单。</x:v>
      </x:c>
    </x:row>
    <x:row r="22" ht="54" customHeight="1">
      <x:c r="A22" s="24" t="str">
        <x:v>D-018</x:v>
      </x:c>
      <x:c r="B22" s="24" t="str">
        <x:v>EMBROIDERY</x:v>
      </x:c>
      <x:c r="C22" s="24" t="str">
        <x:v>CRAFT_1048576</x:v>
      </x:c>
      <x:c r="D22" s="24" t="str">
        <x:v>贝壳绣</x:v>
      </x:c>
      <x:c r="E22" s="24" t="str">
        <x:v>PROD</x:v>
      </x:c>
      <x:c r="F22" s="24" t="str">
        <x:v>外部任务</x:v>
      </x:c>
      <x:c r="G22" s="24" t="str">
        <x:v>ORDER</x:v>
      </x:c>
      <x:c r="H22" s="24" t="str">
        <x:v>裁片部位</x:v>
      </x:c>
      <x:c r="I22" s="24" t="str">
        <x:v>AUX-SHELL-EMBROIDERY</x:v>
      </x:c>
      <x:c r="J22" s="24" t="str">
        <x:v>归入辅助工艺</x:v>
      </x:c>
      <x:c r="K22" s="24" t="str">
        <x:v>重复路径待收口</x:v>
      </x:c>
      <x:c r="L22" s="24" t="str">
        <x:v>代码同时存在独立EMBROIDERY与SPECIAL_CRAFT贝壳绣路径。</x:v>
      </x:c>
    </x:row>
    <x:row r="23" ht="54" customHeight="1">
      <x:c r="A23" s="24" t="str">
        <x:v>D-019</x:v>
      </x:c>
      <x:c r="B23" s="24" t="str">
        <x:v>PRINT</x:v>
      </x:c>
      <x:c r="C23" s="24" t="str">
        <x:v>CRAFT_2000001</x:v>
      </x:c>
      <x:c r="D23" s="24" t="str">
        <x:v>丝网印</x:v>
      </x:c>
      <x:c r="E23" s="24" t="str">
        <x:v>PREP</x:v>
      </x:c>
      <x:c r="F23" s="24" t="str">
        <x:v>准备加工单</x:v>
      </x:c>
      <x:c r="G23" s="24" t="str">
        <x:v>COLOR</x:v>
      </x:c>
      <x:c r="H23" s="24" t="str">
        <x:v>面料</x:v>
      </x:c>
      <x:c r="I23" s="24" t="str">
        <x:v>PREP-PRINT</x:v>
      </x:c>
      <x:c r="J23" s="24" t="str">
        <x:v>沿用印花准备任务规则</x:v>
      </x:c>
      <x:c r="K23" s="24" t="str">
        <x:v>已映射</x:v>
      </x:c>
      <x:c r="L23" s="24" t="str"/>
    </x:row>
    <x:row r="24" ht="54" customHeight="1">
      <x:c r="A24" s="24" t="str">
        <x:v>D-020</x:v>
      </x:c>
      <x:c r="B24" s="24" t="str">
        <x:v>PRINT</x:v>
      </x:c>
      <x:c r="C24" s="24" t="str">
        <x:v>CRAFT_2000002</x:v>
      </x:c>
      <x:c r="D24" s="24" t="str">
        <x:v>数码印</x:v>
      </x:c>
      <x:c r="E24" s="24" t="str">
        <x:v>PREP</x:v>
      </x:c>
      <x:c r="F24" s="24" t="str">
        <x:v>准备加工单</x:v>
      </x:c>
      <x:c r="G24" s="24" t="str">
        <x:v>COLOR</x:v>
      </x:c>
      <x:c r="H24" s="24" t="str">
        <x:v>面料</x:v>
      </x:c>
      <x:c r="I24" s="24" t="str">
        <x:v>PREP-PRINT</x:v>
      </x:c>
      <x:c r="J24" s="24" t="str">
        <x:v>沿用印花准备任务规则</x:v>
      </x:c>
      <x:c r="K24" s="24" t="str">
        <x:v>已映射</x:v>
      </x:c>
      <x:c r="L24" s="24" t="str"/>
    </x:row>
    <x:row r="25" ht="54" customHeight="1">
      <x:c r="A25" s="24" t="str">
        <x:v>D-021</x:v>
      </x:c>
      <x:c r="B25" s="24" t="str">
        <x:v>DYE</x:v>
      </x:c>
      <x:c r="C25" s="24" t="str">
        <x:v>CRAFT_2000003</x:v>
      </x:c>
      <x:c r="D25" s="24" t="str">
        <x:v>匹染</x:v>
      </x:c>
      <x:c r="E25" s="24" t="str">
        <x:v>PREP</x:v>
      </x:c>
      <x:c r="F25" s="24" t="str">
        <x:v>准备加工单</x:v>
      </x:c>
      <x:c r="G25" s="24" t="str">
        <x:v>COLOR</x:v>
      </x:c>
      <x:c r="H25" s="24" t="str">
        <x:v>面料</x:v>
      </x:c>
      <x:c r="I25" s="24" t="str">
        <x:v>PREP-DYE</x:v>
      </x:c>
      <x:c r="J25" s="24" t="str">
        <x:v>沿用染色准备任务规则</x:v>
      </x:c>
      <x:c r="K25" s="24" t="str">
        <x:v>已映射</x:v>
      </x:c>
      <x:c r="L25" s="24" t="str"/>
    </x:row>
    <x:row r="26" ht="54" customHeight="1">
      <x:c r="A26" s="24" t="str">
        <x:v>D-022</x:v>
      </x:c>
      <x:c r="B26" s="24" t="str">
        <x:v>DYE</x:v>
      </x:c>
      <x:c r="C26" s="24" t="str">
        <x:v>CRAFT_2000004</x:v>
      </x:c>
      <x:c r="D26" s="24" t="str">
        <x:v>色织</x:v>
      </x:c>
      <x:c r="E26" s="24" t="str">
        <x:v>PREP</x:v>
      </x:c>
      <x:c r="F26" s="24" t="str">
        <x:v>准备加工单</x:v>
      </x:c>
      <x:c r="G26" s="24" t="str">
        <x:v>COLOR</x:v>
      </x:c>
      <x:c r="H26" s="24" t="str">
        <x:v>面料</x:v>
      </x:c>
      <x:c r="I26" s="24" t="str">
        <x:v>PREP-DYE</x:v>
      </x:c>
      <x:c r="J26" s="24" t="str">
        <x:v>沿用染色准备任务规则</x:v>
      </x:c>
      <x:c r="K26" s="24" t="str">
        <x:v>已映射</x:v>
      </x:c>
      <x:c r="L26" s="24" t="str"/>
    </x:row>
    <x:row r="27" ht="54" customHeight="1">
      <x:c r="A27" s="24" t="str">
        <x:v>D-023</x:v>
      </x:c>
      <x:c r="B27" s="24" t="str">
        <x:v>WOOL</x:v>
      </x:c>
      <x:c r="C27" s="24" t="str">
        <x:v>CRAFT_2000007</x:v>
      </x:c>
      <x:c r="D27" s="24" t="str">
        <x:v>整件毛织</x:v>
      </x:c>
      <x:c r="E27" s="24" t="str">
        <x:v>PROD</x:v>
      </x:c>
      <x:c r="F27" s="24" t="str">
        <x:v>外部任务</x:v>
      </x:c>
      <x:c r="G27" s="24" t="str">
        <x:v>SKU</x:v>
      </x:c>
      <x:c r="H27" s="24" t="str">
        <x:v>成衣</x:v>
      </x:c>
      <x:c r="I27" s="24" t="str">
        <x:v>PROD-WOOL-GARMENT</x:v>
      </x:c>
      <x:c r="J27" s="24" t="str">
        <x:v>沿用整件毛织任务规则</x:v>
      </x:c>
      <x:c r="K27" s="24" t="str">
        <x:v>已映射</x:v>
      </x:c>
      <x:c r="L27" s="24" t="str">
        <x:v>当前分配粒度需从SKU收口为整个任务。</x:v>
      </x:c>
    </x:row>
    <x:row r="28" ht="54" customHeight="1">
      <x:c r="A28" s="24" t="str">
        <x:v>D-024</x:v>
      </x:c>
      <x:c r="B28" s="24" t="str">
        <x:v>WOOL</x:v>
      </x:c>
      <x:c r="C28" s="24" t="str">
        <x:v>CRAFT_2000008</x:v>
      </x:c>
      <x:c r="D28" s="24" t="str">
        <x:v>部位毛织</x:v>
      </x:c>
      <x:c r="E28" s="24" t="str">
        <x:v>PROD</x:v>
      </x:c>
      <x:c r="F28" s="24" t="str">
        <x:v>外部任务</x:v>
      </x:c>
      <x:c r="G28" s="24" t="str">
        <x:v>DETAIL</x:v>
      </x:c>
      <x:c r="H28" s="24" t="str">
        <x:v>裁片部位</x:v>
      </x:c>
      <x:c r="I28" s="24" t="str">
        <x:v>PROD-WOOL-PART</x:v>
      </x:c>
      <x:c r="J28" s="24" t="str">
        <x:v>沿用部位毛织任务规则</x:v>
      </x:c>
      <x:c r="K28" s="24" t="str">
        <x:v>已映射</x:v>
      </x:c>
      <x:c r="L28" s="24" t="str">
        <x:v>当前分配粒度需从DETAIL收口为整个任务。</x:v>
      </x:c>
    </x:row>
    <x:row r="29" ht="54" customHeight="1">
      <x:c r="A29" s="24" t="str">
        <x:v>D-025</x:v>
      </x:c>
      <x:c r="B29" s="24" t="str">
        <x:v>WATER_SOLUBLE</x:v>
      </x:c>
      <x:c r="C29" s="24" t="str">
        <x:v>CRAFT_2000009</x:v>
      </x:c>
      <x:c r="D29" s="24" t="str">
        <x:v>水溶</x:v>
      </x:c>
      <x:c r="E29" s="24" t="str">
        <x:v>PREP</x:v>
      </x:c>
      <x:c r="F29" s="24" t="str">
        <x:v>准备加工单</x:v>
      </x:c>
      <x:c r="G29" s="24" t="str">
        <x:v>ORDER</x:v>
      </x:c>
      <x:c r="H29" s="24" t="str">
        <x:v>BOM物料</x:v>
      </x:c>
      <x:c r="I29" s="24" t="str">
        <x:v>PREP-WATER</x:v>
      </x:c>
      <x:c r="J29" s="24" t="str">
        <x:v>沿用水溶准备任务规则</x:v>
      </x:c>
      <x:c r="K29" s="24" t="str">
        <x:v>已映射</x:v>
      </x:c>
      <x:c r="L29" s="24" t="str"/>
    </x:row>
    <x:row r="30" ht="54" customHeight="1">
      <x:c r="A30" s="24" t="str">
        <x:v>D-026</x:v>
      </x:c>
      <x:c r="B30" s="24" t="str">
        <x:v>IRON_PACK</x:v>
      </x:c>
      <x:c r="C30" s="24" t="str">
        <x:v>CRAFT_2000010</x:v>
      </x:c>
      <x:c r="D30" s="24" t="str">
        <x:v>烫包</x:v>
      </x:c>
      <x:c r="E30" s="24" t="str">
        <x:v>POST</x:v>
      </x:c>
      <x:c r="F30" s="24" t="str">
        <x:v>外部任务</x:v>
      </x:c>
      <x:c r="G30" s="24" t="str">
        <x:v>SKU</x:v>
      </x:c>
      <x:c r="H30" s="24" t="str">
        <x:v>半成品成衣</x:v>
      </x:c>
      <x:c r="I30" s="24" t="str">
        <x:v>POST-IRON-PACK</x:v>
      </x:c>
      <x:c r="J30" s="24" t="str">
        <x:v>沿用独立烫包/固定合并任务规则</x:v>
      </x:c>
      <x:c r="K30" s="24" t="str">
        <x:v>待收口</x:v>
      </x:c>
      <x:c r="L30" s="24" t="str">
        <x:v>当前SKU分配与最新整任务口径冲突。</x:v>
      </x:c>
    </x:row>
    <x:row r="31" ht="54" customHeight="1">
      <x:c r="A31" s="24" t="str">
        <x:v>D-027</x:v>
      </x:c>
      <x:c r="B31" s="24" t="str">
        <x:v>SPECIAL_CRAFT</x:v>
      </x:c>
      <x:c r="C31" s="24" t="str">
        <x:v>CRAFT_3000001</x:v>
      </x:c>
      <x:c r="D31" s="24" t="str">
        <x:v>绣花</x:v>
      </x:c>
      <x:c r="E31" s="24" t="str">
        <x:v>PROD</x:v>
      </x:c>
      <x:c r="F31" s="24" t="str">
        <x:v>外部任务</x:v>
      </x:c>
      <x:c r="G31" s="24" t="str">
        <x:v>ORDER</x:v>
      </x:c>
      <x:c r="H31" s="24" t="str">
        <x:v>裁片部位</x:v>
      </x:c>
      <x:c r="I31" s="24" t="str">
        <x:v>AUX-EMBROIDERY</x:v>
      </x:c>
      <x:c r="J31" s="24" t="str">
        <x:v>归入辅助工艺</x:v>
      </x:c>
      <x:c r="K31" s="24" t="str">
        <x:v>已映射</x:v>
      </x:c>
      <x:c r="L31" s="24" t="str">
        <x:v>现代辅助工艺路径。</x:v>
      </x:c>
    </x:row>
    <x:row r="32" ht="54" customHeight="1">
      <x:c r="A32" s="24" t="str">
        <x:v>D-028</x:v>
      </x:c>
      <x:c r="B32" s="24" t="str">
        <x:v>SPECIAL_CRAFT</x:v>
      </x:c>
      <x:c r="C32" s="24" t="str">
        <x:v>CRAFT_3000002</x:v>
      </x:c>
      <x:c r="D32" s="24" t="str">
        <x:v>压褶</x:v>
      </x:c>
      <x:c r="E32" s="24" t="str">
        <x:v>PROD</x:v>
      </x:c>
      <x:c r="F32" s="24" t="str">
        <x:v>外部任务</x:v>
      </x:c>
      <x:c r="G32" s="24" t="str">
        <x:v>ORDER</x:v>
      </x:c>
      <x:c r="H32" s="24" t="str">
        <x:v>裁片部位</x:v>
      </x:c>
      <x:c r="I32" s="24" t="str">
        <x:v>AUX-PLEATING</x:v>
      </x:c>
      <x:c r="J32" s="24" t="str">
        <x:v>归入辅助工艺</x:v>
      </x:c>
      <x:c r="K32" s="24" t="str">
        <x:v>已映射</x:v>
      </x:c>
      <x:c r="L32" s="24" t="str">
        <x:v>现代辅助工艺路径。</x:v>
      </x:c>
    </x:row>
    <x:row r="33" ht="54" customHeight="1">
      <x:c r="A33" s="24" t="str">
        <x:v>D-029</x:v>
      </x:c>
      <x:c r="B33" s="24" t="str">
        <x:v>SPECIAL_CRAFT</x:v>
      </x:c>
      <x:c r="C33" s="24" t="str">
        <x:v>CRAFT_3000003</x:v>
      </x:c>
      <x:c r="D33" s="24" t="str">
        <x:v>贝壳绣</x:v>
      </x:c>
      <x:c r="E33" s="24" t="str">
        <x:v>PROD</x:v>
      </x:c>
      <x:c r="F33" s="24" t="str">
        <x:v>外部任务</x:v>
      </x:c>
      <x:c r="G33" s="24" t="str">
        <x:v>ORDER</x:v>
      </x:c>
      <x:c r="H33" s="24" t="str">
        <x:v>裁片部位</x:v>
      </x:c>
      <x:c r="I33" s="24" t="str">
        <x:v>AUX-SHELL-EMBROIDERY</x:v>
      </x:c>
      <x:c r="J33" s="24" t="str">
        <x:v>归入辅助工艺</x:v>
      </x:c>
      <x:c r="K33" s="24" t="str">
        <x:v>已映射</x:v>
      </x:c>
      <x:c r="L33" s="24" t="str">
        <x:v>现代辅助工艺路径。</x:v>
      </x:c>
    </x:row>
    <x:row r="34" ht="54" customHeight="1">
      <x:c r="A34" s="24" t="str">
        <x:v>D-030</x:v>
      </x:c>
      <x:c r="B34" s="24" t="str">
        <x:v>SPECIAL_CRAFT</x:v>
      </x:c>
      <x:c r="C34" s="24" t="str">
        <x:v>CRAFT_3000004</x:v>
      </x:c>
      <x:c r="D34" s="24" t="str">
        <x:v>曲牙绣</x:v>
      </x:c>
      <x:c r="E34" s="24" t="str">
        <x:v>PROD</x:v>
      </x:c>
      <x:c r="F34" s="24" t="str">
        <x:v>外部任务</x:v>
      </x:c>
      <x:c r="G34" s="24" t="str">
        <x:v>ORDER</x:v>
      </x:c>
      <x:c r="H34" s="24" t="str">
        <x:v>裁片部位</x:v>
      </x:c>
      <x:c r="I34" s="24" t="str">
        <x:v>AUX-CURVED-TEETH</x:v>
      </x:c>
      <x:c r="J34" s="24" t="str">
        <x:v>归入辅助工艺</x:v>
      </x:c>
      <x:c r="K34" s="24" t="str">
        <x:v>已映射</x:v>
      </x:c>
      <x:c r="L34" s="24" t="str"/>
    </x:row>
    <x:row r="35" ht="54" customHeight="1">
      <x:c r="A35" s="24" t="str">
        <x:v>D-031</x:v>
      </x:c>
      <x:c r="B35" s="24" t="str">
        <x:v>SPECIAL_CRAFT</x:v>
      </x:c>
      <x:c r="C35" s="24" t="str">
        <x:v>CRAFT_3000005</x:v>
      </x:c>
      <x:c r="D35" s="24" t="str">
        <x:v>一字贝绣花</x:v>
      </x:c>
      <x:c r="E35" s="24" t="str">
        <x:v>PROD</x:v>
      </x:c>
      <x:c r="F35" s="24" t="str">
        <x:v>外部任务</x:v>
      </x:c>
      <x:c r="G35" s="24" t="str">
        <x:v>ORDER</x:v>
      </x:c>
      <x:c r="H35" s="24" t="str">
        <x:v>裁片部位</x:v>
      </x:c>
      <x:c r="I35" s="24" t="str">
        <x:v>AUX-STRAIGHT-SHELL</x:v>
      </x:c>
      <x:c r="J35" s="24" t="str">
        <x:v>归入辅助工艺</x:v>
      </x:c>
      <x:c r="K35" s="24" t="str">
        <x:v>已映射</x:v>
      </x:c>
      <x:c r="L35" s="24" t="str"/>
    </x:row>
    <x:row r="36" ht="54" customHeight="1">
      <x:c r="A36" s="24" t="str">
        <x:v>D-032</x:v>
      </x:c>
      <x:c r="B36" s="24" t="str">
        <x:v>SPECIAL_CRAFT</x:v>
      </x:c>
      <x:c r="C36" s="24" t="str">
        <x:v>CRAFT_3000006</x:v>
      </x:c>
      <x:c r="D36" s="24" t="str">
        <x:v>模板工序</x:v>
      </x:c>
      <x:c r="E36" s="24" t="str">
        <x:v>PROD</x:v>
      </x:c>
      <x:c r="F36" s="24" t="str">
        <x:v>外部任务</x:v>
      </x:c>
      <x:c r="G36" s="24" t="str">
        <x:v>ORDER</x:v>
      </x:c>
      <x:c r="H36" s="24" t="str">
        <x:v>裁片部位</x:v>
      </x:c>
      <x:c r="I36" s="24" t="str">
        <x:v>SPC-TEMPLATE</x:v>
      </x:c>
      <x:c r="J36" s="24" t="str">
        <x:v>归入特种工艺</x:v>
      </x:c>
      <x:c r="K36" s="24" t="str">
        <x:v>已映射</x:v>
      </x:c>
      <x:c r="L36" s="24" t="str"/>
    </x:row>
    <x:row r="37" ht="54" customHeight="1">
      <x:c r="A37" s="24" t="str">
        <x:v>D-033</x:v>
      </x:c>
      <x:c r="B37" s="24" t="str">
        <x:v>SPECIAL_CRAFT</x:v>
      </x:c>
      <x:c r="C37" s="24" t="str">
        <x:v>CRAFT_3000007</x:v>
      </x:c>
      <x:c r="D37" s="24" t="str">
        <x:v>激光开袋</x:v>
      </x:c>
      <x:c r="E37" s="24" t="str">
        <x:v>PROD</x:v>
      </x:c>
      <x:c r="F37" s="24" t="str">
        <x:v>外部任务</x:v>
      </x:c>
      <x:c r="G37" s="24" t="str">
        <x:v>ORDER</x:v>
      </x:c>
      <x:c r="H37" s="24" t="str">
        <x:v>裁片部位</x:v>
      </x:c>
      <x:c r="I37" s="24" t="str">
        <x:v>SPC-LASER-POCKET</x:v>
      </x:c>
      <x:c r="J37" s="24" t="str">
        <x:v>归入特种工艺</x:v>
      </x:c>
      <x:c r="K37" s="24" t="str">
        <x:v>已映射</x:v>
      </x:c>
      <x:c r="L37" s="24" t="str"/>
    </x:row>
    <x:row r="38" ht="54" customHeight="1">
      <x:c r="A38" s="24" t="str">
        <x:v>D-034</x:v>
      </x:c>
      <x:c r="B38" s="24" t="str">
        <x:v>SPECIAL_CRAFT</x:v>
      </x:c>
      <x:c r="C38" s="24" t="str">
        <x:v>CRAFT_3000008</x:v>
      </x:c>
      <x:c r="D38" s="24" t="str">
        <x:v>特种车缝（花样机）</x:v>
      </x:c>
      <x:c r="E38" s="24" t="str">
        <x:v>PROD</x:v>
      </x:c>
      <x:c r="F38" s="24" t="str">
        <x:v>外部任务</x:v>
      </x:c>
      <x:c r="G38" s="24" t="str">
        <x:v>ORDER</x:v>
      </x:c>
      <x:c r="H38" s="24" t="str">
        <x:v>裁片部位</x:v>
      </x:c>
      <x:c r="I38" s="24" t="str">
        <x:v>SPC-PATTERN-SEW</x:v>
      </x:c>
      <x:c r="J38" s="24" t="str">
        <x:v>归入特种工艺</x:v>
      </x:c>
      <x:c r="K38" s="24" t="str">
        <x:v>已映射</x:v>
      </x:c>
      <x:c r="L38" s="24" t="str"/>
    </x:row>
    <x:row r="39" ht="54" customHeight="1">
      <x:c r="A39" s="24" t="str">
        <x:v>D-035</x:v>
      </x:c>
      <x:c r="B39" s="24" t="str">
        <x:v>SPECIAL_CRAFT</x:v>
      </x:c>
      <x:c r="C39" s="24" t="str">
        <x:v>CRAFT_3000009</x:v>
      </x:c>
      <x:c r="D39" s="24" t="str">
        <x:v>橡筋定长切割</x:v>
      </x:c>
      <x:c r="E39" s="24" t="str">
        <x:v>PROD</x:v>
      </x:c>
      <x:c r="F39" s="24" t="str">
        <x:v>外部任务</x:v>
      </x:c>
      <x:c r="G39" s="24" t="str">
        <x:v>ORDER</x:v>
      </x:c>
      <x:c r="H39" s="24" t="str">
        <x:v>辅料</x:v>
      </x:c>
      <x:c r="I39" s="24" t="str">
        <x:v>SPC-ELASTIC-CUT</x:v>
      </x:c>
      <x:c r="J39" s="24" t="str">
        <x:v>归入特种工艺</x:v>
      </x:c>
      <x:c r="K39" s="24" t="str">
        <x:v>待收口</x:v>
      </x:c>
      <x:c r="L39" s="24" t="str">
        <x:v>现代字典为辅料，operation seed仍投影为裁片。</x:v>
      </x:c>
    </x:row>
    <x:row r="40" ht="54" customHeight="1">
      <x:c r="A40" s="24" t="str">
        <x:v>D-036</x:v>
      </x:c>
      <x:c r="B40" s="24" t="str">
        <x:v>SPECIAL_CRAFT</x:v>
      </x:c>
      <x:c r="C40" s="24" t="str">
        <x:v>CRAFT_3100001</x:v>
      </x:c>
      <x:c r="D40" s="24" t="str">
        <x:v>盘扣</x:v>
      </x:c>
      <x:c r="E40" s="24" t="str">
        <x:v>PROD</x:v>
      </x:c>
      <x:c r="F40" s="24" t="str">
        <x:v>外部任务</x:v>
      </x:c>
      <x:c r="G40" s="24" t="str">
        <x:v>ORDER</x:v>
      </x:c>
      <x:c r="H40" s="24" t="str">
        <x:v>捆条</x:v>
      </x:c>
      <x:c r="I40" s="24" t="str">
        <x:v>AUX-BUTTON-LOOP</x:v>
      </x:c>
      <x:c r="J40" s="24" t="str">
        <x:v>归入辅助工艺</x:v>
      </x:c>
      <x:c r="K40" s="24" t="str">
        <x:v>已映射</x:v>
      </x:c>
      <x:c r="L40" s="24" t="str">
        <x:v>加工单一单多捆条/菲票；输出单位从BOM取。</x:v>
      </x:c>
    </x:row>
    <x:row r="41" ht="54" customHeight="1">
      <x:c r="A41" s="24" t="str">
        <x:v>D-037</x:v>
      </x:c>
      <x:c r="B41" s="24" t="str">
        <x:v>SPECIAL_CRAFT</x:v>
      </x:c>
      <x:c r="C41" s="24" t="str">
        <x:v>CRAFT_3100002</x:v>
      </x:c>
      <x:c r="D41" s="24" t="str">
        <x:v>花朵</x:v>
      </x:c>
      <x:c r="E41" s="24" t="str">
        <x:v>PROD</x:v>
      </x:c>
      <x:c r="F41" s="24" t="str">
        <x:v>外部任务</x:v>
      </x:c>
      <x:c r="G41" s="24" t="str">
        <x:v>ORDER</x:v>
      </x:c>
      <x:c r="H41" s="24" t="str">
        <x:v>裁片部位</x:v>
      </x:c>
      <x:c r="I41" s="24" t="str">
        <x:v>AUX-FLOWER</x:v>
      </x:c>
      <x:c r="J41" s="24" t="str">
        <x:v>归入辅助工艺</x:v>
      </x:c>
      <x:c r="K41" s="24" t="str">
        <x:v>已映射</x:v>
      </x:c>
      <x:c r="L41" s="24" t="str"/>
    </x:row>
    <x:row r="42" ht="54" customHeight="1">
      <x:c r="A42" s="24" t="str">
        <x:v>D-038</x:v>
      </x:c>
      <x:c r="B42" s="24" t="str">
        <x:v>SPECIAL_CRAFT</x:v>
      </x:c>
      <x:c r="C42" s="24" t="str">
        <x:v>CRAFT_3100003</x:v>
      </x:c>
      <x:c r="D42" s="24" t="str">
        <x:v>打褶</x:v>
      </x:c>
      <x:c r="E42" s="24" t="str">
        <x:v>PROD</x:v>
      </x:c>
      <x:c r="F42" s="24" t="str">
        <x:v>外部任务</x:v>
      </x:c>
      <x:c r="G42" s="24" t="str">
        <x:v>ORDER</x:v>
      </x:c>
      <x:c r="H42" s="24" t="str">
        <x:v>裁片部位</x:v>
      </x:c>
      <x:c r="I42" s="24" t="str">
        <x:v>AUX-GATHERING</x:v>
      </x:c>
      <x:c r="J42" s="24" t="str">
        <x:v>归入辅助工艺</x:v>
      </x:c>
      <x:c r="K42" s="24" t="str">
        <x:v>已映射</x:v>
      </x:c>
      <x:c r="L42" s="24" t="str">
        <x:v>与压褶是两种不同工艺。</x:v>
      </x:c>
    </x:row>
    <x:row r="43" ht="54" customHeight="1">
      <x:c r="A43" s="24" t="str">
        <x:v>D-039</x:v>
      </x:c>
      <x:c r="B43" s="24" t="str">
        <x:v>SPECIAL_CRAFT</x:v>
      </x:c>
      <x:c r="C43" s="24" t="str">
        <x:v>CRAFT_3100004</x:v>
      </x:c>
      <x:c r="D43" s="24" t="str">
        <x:v>烫钻</x:v>
      </x:c>
      <x:c r="E43" s="24" t="str">
        <x:v>PROD</x:v>
      </x:c>
      <x:c r="F43" s="24" t="str">
        <x:v>外部任务</x:v>
      </x:c>
      <x:c r="G43" s="24" t="str">
        <x:v>ORDER</x:v>
      </x:c>
      <x:c r="H43" s="24" t="str">
        <x:v>裁片部位</x:v>
      </x:c>
      <x:c r="I43" s="24" t="str">
        <x:v>AUX-HOTFIX</x:v>
      </x:c>
      <x:c r="J43" s="24" t="str">
        <x:v>归入辅助工艺</x:v>
      </x:c>
      <x:c r="K43" s="24" t="str">
        <x:v>已映射</x:v>
      </x:c>
      <x:c r="L43" s="24" t="str"/>
    </x:row>
  </x:sheetData>
  <x:mergeCells>
    <x:mergeCell ref="A1:L1"/>
    <x:mergeCell ref="A2:L2"/>
  </x:mergeCells>
  <x:conditionalFormatting sqref="K5:K43">
    <x:cfRule type="containsText" dxfId="13" priority="1" operator="containsText" text="已映射"/>
    <x:cfRule type="containsText" dxfId="14" priority="2" operator="containsText" text="待确认"/>
    <x:cfRule type="containsText" dxfId="15" priority="3" operator="containsText" text="待收口"/>
  </x:conditionalFormatting>
  <x:pageMargins left="0.7" right="0.7" top="0.75" bottom="0.75" header="0.3" footer="0.3"/>
  <x:tableParts count="1">
    <x:tablePart xmlns:r="http://schemas.openxmlformats.org/officeDocument/2006/relationships" r:id="Ree44e242cf844d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3.329999923706055" hidden="0" customWidth="1"/>
    <x:col min="3" max="3" width="43.33000183105469" hidden="0" customWidth="1"/>
    <x:col min="4" max="4" width="43.33000183105469" hidden="0" customWidth="1"/>
    <x:col min="5" max="5" width="16.670000076293945" hidden="0" customWidth="1"/>
    <x:col min="6" max="6" width="12.220000267028809" hidden="0" customWidth="1"/>
    <x:col min="7" max="7" width="37.779998779296875" hidden="0" customWidth="1"/>
    <x:col min="8" max="8" width="40" hidden="0" customWidth="1"/>
  </x:cols>
  <x:sheetData>
    <x:row r="1" ht="30" customHeight="1">
      <x:c r="A1" s="3" t="str">
        <x:v>待确认事项与当前代码差异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共 15 项；“代码冲突”表示当前代码与最新业务口径不一致，“待确认”表示本轮没有足够业务事实，不能自行补结论。</x:v>
      </x:c>
      <x:c r="B2" s="6"/>
      <x:c r="C2" s="6"/>
      <x:c r="D2" s="6"/>
      <x:c r="E2" s="6"/>
      <x:c r="F2" s="6"/>
      <x:c r="G2" s="6"/>
      <x:c r="H2" s="6"/>
    </x:row>
    <x:row r="4" ht="36" customHeight="1">
      <x:c r="A4" s="15" t="str">
        <x:v>问题编号</x:v>
      </x:c>
      <x:c r="B4" s="16" t="str">
        <x:v>领域</x:v>
      </x:c>
      <x:c r="C4" s="16" t="str">
        <x:v>当前代码/现状</x:v>
      </x:c>
      <x:c r="D4" s="16" t="str">
        <x:v>最新业务口径</x:v>
      </x:c>
      <x:c r="E4" s="16" t="str">
        <x:v>影响维度</x:v>
      </x:c>
      <x:c r="F4" s="16" t="str">
        <x:v>状态</x:v>
      </x:c>
      <x:c r="G4" s="16" t="str">
        <x:v>实施检查点</x:v>
      </x:c>
      <x:c r="H4" s="17" t="str">
        <x:v>证据位置</x:v>
      </x:c>
    </x:row>
    <x:row r="5" ht="72" customHeight="1">
      <x:c r="A5" s="23" t="str">
        <x:v>ISSUE-001</x:v>
      </x:c>
      <x:c r="B5" s="23" t="str">
        <x:v>任务分配</x:v>
      </x:c>
      <x:c r="C5" s="23" t="str">
        <x:v>当前脏工作树及字典仍存在SKU/COLOR/DETAIL等多种非车缝分配粒度。</x:v>
      </x:c>
      <x:c r="D5" s="23" t="str">
        <x:v>只有独立车缝任务允许按完整成衣SKU明细分配；其余任务整任务分配。</x:v>
      </x:c>
      <x:c r="E5" s="23" t="str">
        <x:v>分配粒度</x:v>
      </x:c>
      <x:c r="F5" s="23" t="str">
        <x:v>代码冲突</x:v>
      </x:c>
      <x:c r="G5" s="23" t="str">
        <x:v>收口策略、字典、工作台、直接派单/竞价/改派及测试。</x:v>
      </x:c>
      <x:c r="H5" s="23" t="str">
        <x:v>src/data/fcs/task-fulfillment-policy.ts；src/data/fcs/process-craft-dict.ts；src/data/fcs/merged-production-task.ts</x:v>
      </x:c>
    </x:row>
    <x:row r="6" ht="72" customHeight="1">
      <x:c r="A6" s="24" t="str">
        <x:v>ISSUE-002</x:v>
      </x:c>
      <x:c r="B6" s="24" t="str">
        <x:v>明细可见性</x:v>
      </x:c>
      <x:c r="C6" s="24" t="str">
        <x:v>统一分配工作台把“不能按明细分配”与“不展示明细”混在同一分支。</x:v>
      </x:c>
      <x:c r="D6" s="24" t="str">
        <x:v>整任务分配仍必须展示全部需求明细，只是没有复选框。</x:v>
      </x:c>
      <x:c r="E6" s="24" t="str">
        <x:v>明细可见</x:v>
      </x:c>
      <x:c r="F6" s="24" t="str">
        <x:v>代码冲突</x:v>
      </x:c>
      <x:c r="G6" s="24" t="str">
        <x:v>拆分“可见”和“可选择”两个字段/渲染分支。</x:v>
      </x:c>
      <x:c r="H6" s="24" t="str">
        <x:v>src/pages/unified-dispatch-workbench.ts</x:v>
      </x:c>
    </x:row>
    <x:row r="7" ht="72" customHeight="1">
      <x:c r="A7" s="24" t="str">
        <x:v>ISSUE-003</x:v>
      </x:c>
      <x:c r="B7" s="24" t="str">
        <x:v>通用任务明细</x:v>
      </x:c>
      <x:c r="C7" s="24" t="str">
        <x:v>TaskDetailRow只支持纸样、物料SKU、成衣颜色、成衣SKU的扁平组合，无法表达裁片单、菲票、捆条、BOM行等稳定身份。</x:v>
      </x:c>
      <x:c r="D7" s="24" t="str">
        <x:v>每个业务域保留自己的需求明细身份；通用展示层不能成为唯一事实源。</x:v>
      </x:c>
      <x:c r="E7" s="24" t="str">
        <x:v>明细模型</x:v>
      </x:c>
      <x:c r="F7" s="24" t="str">
        <x:v>代码冲突</x:v>
      </x:c>
      <x:c r="G7" s="24" t="str">
        <x:v>定义稳定detailId与域明细引用。</x:v>
      </x:c>
      <x:c r="H7" s="24" t="str">
        <x:v>src/data/fcs/task-detail-rows.ts；src/data/fcs/process-craft-dict.ts</x:v>
      </x:c>
    </x:row>
    <x:row r="8" ht="72" customHeight="1">
      <x:c r="A8" s="24" t="str">
        <x:v>ISSUE-004</x:v>
      </x:c>
      <x:c r="B8" s="24" t="str">
        <x:v>需求来源</x:v>
      </x:c>
      <x:c r="C8" s="24" t="str">
        <x:v>ProcessWorkOrderSourceType为PRODUCTION_ORDER/STOCK/CUT_PIECE_SUPPLEMENT。</x:v>
      </x:c>
      <x:c r="D8" s="24" t="str">
        <x:v>统一为PRODUCTION_ORDER、PRODUCTION_SUPPLEMENT、PURCHASE；备货属于PURCHASE。</x:v>
      </x:c>
      <x:c r="E8" s="24" t="str">
        <x:v>需求来源</x:v>
      </x:c>
      <x:c r="F8" s="24" t="str">
        <x:v>代码冲突</x:v>
      </x:c>
      <x:c r="G8" s="24" t="str">
        <x:v>迁移枚举、标签、Mock和所有加工单来源快照。</x:v>
      </x:c>
      <x:c r="H8" s="24" t="str">
        <x:v>src/data/fcs/process-work-order-domain.ts</x:v>
      </x:c>
    </x:row>
    <x:row r="9" ht="72" customHeight="1">
      <x:c r="A9" s="24" t="str">
        <x:v>ISSUE-005</x:v>
      </x:c>
      <x:c r="B9" s="24" t="str">
        <x:v>辅助/特种工艺</x:v>
      </x:c>
      <x:c r="C9" s="24" t="str">
        <x:v>生产单来源已按生产单+工艺+作用对象聚合多条demandLines；来源类型仅支持生产单。</x:v>
      </x:c>
      <x:c r="D9" s="24" t="str">
        <x:v>生产单和生产单补料均整任务分配；加工单按任务建立，单内显示全部明细。</x:v>
      </x:c>
      <x:c r="E9" s="24" t="str">
        <x:v>分配+生成</x:v>
      </x:c>
      <x:c r="F9" s="24" t="str">
        <x:v>部分符合</x:v>
      </x:c>
      <x:c r="G9" s="24" t="str">
        <x:v>保留现有聚合方式，补生产单补料来源与任务分配继承。</x:v>
      </x:c>
      <x:c r="H9" s="24" t="str">
        <x:v>src/data/fcs/special-craft-task-generation.ts；src/data/fcs/special-craft-task-orders.ts</x:v>
      </x:c>
    </x:row>
    <x:row r="10" ht="72" customHeight="1">
      <x:c r="A10" s="24" t="str">
        <x:v>ISSUE-006</x:v>
      </x:c>
      <x:c r="B10" s="24" t="str">
        <x:v>盘扣</x:v>
      </x:c>
      <x:c r="C10" s="24" t="str">
        <x:v>一张盘扣加工单已聚合多条捆条/菲票；输出单位常量写死为“个”。</x:v>
      </x:c>
      <x:c r="D10" s="24" t="str">
        <x:v>不按捆条/菲票拆单；输出单位取技术包BOM，允许“个”或“对”。</x:v>
      </x:c>
      <x:c r="E10" s="24" t="str">
        <x:v>生成粒度+单位</x:v>
      </x:c>
      <x:c r="F10" s="24" t="str">
        <x:v>代码冲突</x:v>
      </x:c>
      <x:c r="G10" s="24" t="str">
        <x:v>冻结BOM项/版本/单位并按明细保存，禁止跨单位汇总。</x:v>
      </x:c>
      <x:c r="H10" s="24" t="str">
        <x:v>src/data/fcs/button-loop-craft-flow.ts</x:v>
      </x:c>
    </x:row>
    <x:row r="11" ht="72" customHeight="1">
      <x:c r="A11" s="24" t="str">
        <x:v>ISSUE-007</x:v>
      </x:c>
      <x:c r="B11" s="24" t="str">
        <x:v>裁片</x:v>
      </x:c>
      <x:c r="C11" s="24" t="str">
        <x:v>CuttingTaskRef持有多张cutOrder；每张裁片单有materialIdentity+patternIdentity。</x:v>
      </x:c>
      <x:c r="D11" s="24" t="str">
        <x:v>裁片任务整任务分配；裁片单按物料+纸样明细生成。</x:v>
      </x:c>
      <x:c r="E11" s="24" t="str">
        <x:v>分配+生成</x:v>
      </x:c>
      <x:c r="F11" s="24" t="str">
        <x:v>符合</x:v>
      </x:c>
      <x:c r="G11" s="24" t="str">
        <x:v>保留任务—多裁片单层级并补生产单补料关系。</x:v>
      </x:c>
      <x:c r="H11" s="24" t="str">
        <x:v>src/domain/cutting-core/types.ts；src/data/fcs/cutting/generated-cut-orders.ts</x:v>
      </x:c>
    </x:row>
    <x:row r="12" ht="72" customHeight="1">
      <x:c r="A12" s="24" t="str">
        <x:v>ISSUE-008</x:v>
      </x:c>
      <x:c r="B12" s="24" t="str">
        <x:v>PREP</x:v>
      </x:c>
      <x:c r="C12" s="24" t="str">
        <x:v>印花/染色/水溶已有加工单；缩水/洗水当前inactive且不能生成加工单/PDA。</x:v>
      </x:c>
      <x:c r="D12" s="24" t="str">
        <x:v>所有PREP任务整任务分配，并按需求明细生成对应加工单。</x:v>
      </x:c>
      <x:c r="E12" s="24" t="str">
        <x:v>分配+生成</x:v>
      </x:c>
      <x:c r="F12" s="24" t="str">
        <x:v>代码冲突</x:v>
      </x:c>
      <x:c r="G12" s="24" t="str">
        <x:v>补缩水/洗水加工单、工厂分配、仓储/PDA及精确明细键。</x:v>
      </x:c>
      <x:c r="H12" s="24" t="str">
        <x:v>src/data/fcs/process-craft-dict.ts；src/data/fcs/process-work-order-domain.ts</x:v>
      </x:c>
    </x:row>
    <x:row r="13" ht="72" customHeight="1">
      <x:c r="A13" s="24" t="str">
        <x:v>ISSUE-009</x:v>
      </x:c>
      <x:c r="B13" s="24" t="str">
        <x:v>辅料加工</x:v>
      </x:c>
      <x:c r="C13" s="24" t="str">
        <x:v>花边生产单按采购单+SKU生成，但没有独立的可分配任务层。</x:v>
      </x:c>
      <x:c r="D13" s="24" t="str">
        <x:v>辅料加工任务整任务分配；加工单按需求明细生成。</x:v>
      </x:c>
      <x:c r="E13" s="24" t="str">
        <x:v>分配+生成</x:v>
      </x:c>
      <x:c r="F13" s="24" t="str">
        <x:v>代码冲突</x:v>
      </x:c>
      <x:c r="G13" s="24" t="str">
        <x:v>确认是否新增任务层，或把采购指定工厂定义为任务整体分配。</x:v>
      </x:c>
      <x:c r="H13" s="24" t="str">
        <x:v>src/data/fcs/lace-factory-domain.ts；src/data/fcs/lace-production-generation-key.ts</x:v>
      </x:c>
    </x:row>
    <x:row r="14" ht="72" customHeight="1">
      <x:c r="A14" s="24" t="str">
        <x:v>ISSUE-010</x:v>
      </x:c>
      <x:c r="B14" s="24" t="str">
        <x:v>毛织</x:v>
      </x:c>
      <x:c r="C14" s="24" t="str">
        <x:v>WoolWorkOrder一任务一单并含多输出行，但字典仍允许SKU/DETAIL分配。</x:v>
      </x:c>
      <x:c r="D14" s="24" t="str">
        <x:v>毛织任务必须整任务分配；加工单生成粒度尚未最终确认。</x:v>
      </x:c>
      <x:c r="E14" s="24" t="str">
        <x:v>分配+生成</x:v>
      </x:c>
      <x:c r="F14" s="24" t="str">
        <x:v>代码冲突</x:v>
      </x:c>
      <x:c r="G14" s="24" t="str">
        <x:v>先收口整任务分配；保留一单多输出行，等待产品确认。</x:v>
      </x:c>
      <x:c r="H14" s="24" t="str">
        <x:v>src/data/fcs/wool-domain/types.ts；src/data/fcs/process-craft-dict.ts</x:v>
      </x:c>
    </x:row>
    <x:row r="15" ht="72" customHeight="1">
      <x:c r="A15" s="24" t="str">
        <x:v>ISSUE-011</x:v>
      </x:c>
      <x:c r="B15" s="24" t="str">
        <x:v>固定合并任务</x:v>
      </x:c>
      <x:c r="C15" s="24" t="str">
        <x:v>SEWING_IRON_PACK与CUTTING_SEWING_IRON_PACK定义仍标SKU。</x:v>
      </x:c>
      <x:c r="D15" s="24" t="str">
        <x:v>两类固定合并任务都整任务分配，只读展示需求明细。</x:v>
      </x:c>
      <x:c r="E15" s="24" t="str">
        <x:v>分配粒度+可见性</x:v>
      </x:c>
      <x:c r="F15" s="24" t="str">
        <x:v>代码冲突</x:v>
      </x:c>
      <x:c r="G15" s="24" t="str">
        <x:v>修改合并定义、分配弹窗和回归测试；裁片单生成另行确认。</x:v>
      </x:c>
      <x:c r="H15" s="24" t="str">
        <x:v>src/data/fcs/merged-production-task.ts</x:v>
      </x:c>
    </x:row>
    <x:row r="16" ht="72" customHeight="1">
      <x:c r="A16" s="24" t="str">
        <x:v>ISSUE-012</x:v>
      </x:c>
      <x:c r="B16" s="24" t="str">
        <x:v>后道</x:v>
      </x:c>
      <x:c r="C16" s="24" t="str">
        <x:v>后道实际工序单按质检单/来源上下文生成，内部项目含SKU行。</x:v>
      </x:c>
      <x:c r="D16" s="24" t="str">
        <x:v>当前三维规则尚未确认后道实际工序单是否纳入统一“按任务/按明细”模型。</x:v>
      </x:c>
      <x:c r="E16" s="24" t="str">
        <x:v>下游生成</x:v>
      </x:c>
      <x:c r="F16" s="24" t="str">
        <x:v>待确认</x:v>
      </x:c>
      <x:c r="G16" s="24" t="str">
        <x:v>第二阶段统一模型前保留当前领域规则。</x:v>
      </x:c>
      <x:c r="H16" s="24" t="str">
        <x:v>src/data/fcs/post-finishing-domain.ts</x:v>
      </x:c>
    </x:row>
    <x:row r="17" ht="72" customHeight="1">
      <x:c r="A17" s="24" t="str">
        <x:v>ISSUE-013</x:v>
      </x:c>
      <x:c r="B17" s="24" t="str">
        <x:v>特种工艺对象</x:v>
      </x:c>
      <x:c r="C17" s="24" t="str">
        <x:v>现代字典把橡筋定长切割定义为辅料，但operation seed当前投影为已裁部位；激光切存在旧/运行路径但不在现代特种清单。</x:v>
      </x:c>
      <x:c r="D17" s="24" t="str">
        <x:v>加工对象与工艺归类必须只有一个事实源。</x:v>
      </x:c>
      <x:c r="E17" s="24" t="str">
        <x:v>明细定义</x:v>
      </x:c>
      <x:c r="F17" s="24" t="str">
        <x:v>代码冲突</x:v>
      </x:c>
      <x:c r="G17" s="24" t="str">
        <x:v>收口工艺字典、operation definition、任务生成和菜单。</x:v>
      </x:c>
      <x:c r="H17" s="24" t="str">
        <x:v>src/data/fcs/process-craft-dict.ts；src/data/fcs/special-craft-operations.ts</x:v>
      </x:c>
    </x:row>
    <x:row r="18" ht="72" customHeight="1">
      <x:c r="A18" s="24" t="str">
        <x:v>ISSUE-014</x:v>
      </x:c>
      <x:c r="B18" s="24" t="str">
        <x:v>采购来源辅助/特种</x:v>
      </x:c>
      <x:c r="C18" s="24" t="str">
        <x:v>当前辅助/特种加工单仅支持生产单来源。</x:v>
      </x:c>
      <x:c r="D18" s="24" t="str">
        <x:v>本轮只确认生产单、生产单补料；备货采购是否适用尚未确认。</x:v>
      </x:c>
      <x:c r="E18" s="24" t="str">
        <x:v>需求来源+生成</x:v>
      </x:c>
      <x:c r="F18" s="24" t="str">
        <x:v>待确认</x:v>
      </x:c>
      <x:c r="G18" s="24" t="str">
        <x:v>不得把生产单规则自动外推到采购；产品确认后再落模型。</x:v>
      </x:c>
      <x:c r="H18" s="24" t="str">
        <x:v>src/data/fcs/special-craft-task-orders.ts</x:v>
      </x:c>
    </x:row>
    <x:row r="19" ht="72" customHeight="1">
      <x:c r="A19" s="24" t="str">
        <x:v>ISSUE-015</x:v>
      </x:c>
      <x:c r="B19" s="24" t="str">
        <x:v>合并裁剪任务</x:v>
      </x:c>
      <x:c r="C19" s="24" t="str">
        <x:v>GeneratedCutOrderSourceRecord支持CUTTING_SEWING_IRON_PACK_TASK按物料+纸样生成裁片单。</x:v>
      </x:c>
      <x:c r="D19" s="24" t="str">
        <x:v>合并任务整任务分配已确认，但是否必须生成裁片单尚未明确。</x:v>
      </x:c>
      <x:c r="E19" s="24" t="str">
        <x:v>下游生成</x:v>
      </x:c>
      <x:c r="F19" s="24" t="str">
        <x:v>待确认</x:v>
      </x:c>
      <x:c r="G19" s="24" t="str">
        <x:v>产品确认后决定保留或关闭该生成路径。</x:v>
      </x:c>
      <x:c r="H19" s="24" t="str">
        <x:v>src/data/fcs/cutting/generated-cut-orders.ts</x:v>
      </x:c>
    </x:row>
  </x:sheetData>
  <x:mergeCells>
    <x:mergeCell ref="A1:H1"/>
    <x:mergeCell ref="A2:H2"/>
  </x:mergeCells>
  <x:conditionalFormatting sqref="F5:F19">
    <x:cfRule type="containsText" dxfId="16" priority="1" operator="containsText" text="代码冲突"/>
    <x:cfRule type="containsText" dxfId="17" priority="2" operator="containsText" text="待确认"/>
    <x:cfRule type="containsText" dxfId="18" priority="3" operator="containsText" text="部分符合"/>
    <x:cfRule type="containsText" dxfId="19" priority="4" operator="containsText" text="符合"/>
  </x:conditionalFormatting>
  <x:pageMargins left="0.7" right="0.7" top="0.75" bottom="0.75" header="0.3" footer="0.3"/>
  <x:tableParts count="1">
    <x:tablePart xmlns:r="http://schemas.openxmlformats.org/officeDocument/2006/relationships" r:id="Rc0d51d09dd10472c"/>
  </x:tableParts>
</x:worksheet>
</file>